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ancial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4" fontId="3" fillId="3" borderId="2" pivotButton="0" quotePrefix="0" xfId="0"/>
    <xf numFmtId="0" fontId="3" fillId="3" borderId="2" applyAlignment="1" pivotButton="0" quotePrefix="0" xfId="0">
      <alignment horizontal="right" vertical="center"/>
    </xf>
    <xf numFmtId="0" fontId="3" fillId="4" borderId="2" pivotButton="0" quotePrefix="0" xfId="0"/>
    <xf numFmtId="4" fontId="3" fillId="4" borderId="2" pivotButton="0" quotePrefix="0" xfId="0"/>
    <xf numFmtId="0" fontId="3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2" t="inlineStr">
        <is>
          <t>Company Name</t>
        </is>
      </c>
      <c r="B1" s="2" t="inlineStr">
        <is>
          <t>Financial Year</t>
        </is>
      </c>
      <c r="C1" s="2" t="inlineStr">
        <is>
          <t>Operating Profit (EBIT)</t>
        </is>
      </c>
      <c r="D1" s="2" t="inlineStr">
        <is>
          <t>Interest Expense</t>
        </is>
      </c>
      <c r="E1" s="2" t="inlineStr">
        <is>
          <t>Tax</t>
        </is>
      </c>
      <c r="F1" s="2" t="inlineStr">
        <is>
          <t>Reported Net Profit (PAT)</t>
        </is>
      </c>
      <c r="G1" s="2" t="inlineStr">
        <is>
          <t>Total Equity</t>
        </is>
      </c>
      <c r="H1" s="2" t="inlineStr">
        <is>
          <t>Total Debt</t>
        </is>
      </c>
      <c r="I1" s="2" t="inlineStr">
        <is>
          <t>Cash &amp; Cash Equivalents</t>
        </is>
      </c>
      <c r="J1" s="2" t="inlineStr">
        <is>
          <t>Outstanding Shares</t>
        </is>
      </c>
      <c r="K1" s="2" t="inlineStr">
        <is>
          <t>Market Cap</t>
        </is>
      </c>
      <c r="L1" s="2" t="inlineStr">
        <is>
          <t>Risk-Free Rate (%)</t>
        </is>
      </c>
      <c r="M1" s="2" t="inlineStr">
        <is>
          <t>Market Risk Premium (%)</t>
        </is>
      </c>
      <c r="N1" s="2" t="inlineStr">
        <is>
          <t>Beta</t>
        </is>
      </c>
      <c r="O1" s="2" t="inlineStr">
        <is>
          <t>ROE (%)</t>
        </is>
      </c>
      <c r="P1" s="2" t="inlineStr">
        <is>
          <t>ROA (%)</t>
        </is>
      </c>
      <c r="Q1" s="2" t="inlineStr">
        <is>
          <t>EPS</t>
        </is>
      </c>
      <c r="R1" s="2" t="inlineStr">
        <is>
          <t>Effective Tax Rate (%)</t>
        </is>
      </c>
      <c r="S1" s="2" t="inlineStr">
        <is>
          <t>NOPAT</t>
        </is>
      </c>
      <c r="T1" s="2" t="inlineStr">
        <is>
          <t>Invested Capital</t>
        </is>
      </c>
      <c r="U1" s="2" t="inlineStr">
        <is>
          <t>Cost of Equity (Ke %)</t>
        </is>
      </c>
      <c r="V1" s="2" t="inlineStr">
        <is>
          <t>Cost of Debt (Kd %)</t>
        </is>
      </c>
      <c r="W1" s="2" t="inlineStr">
        <is>
          <t>WACC (%)</t>
        </is>
      </c>
      <c r="X1" s="2" t="inlineStr">
        <is>
          <t>EVA</t>
        </is>
      </c>
    </row>
    <row r="2">
      <c r="A2" s="3" t="inlineStr">
        <is>
          <t>Tata Motors Ltd</t>
        </is>
      </c>
      <c r="B2" s="3" t="inlineStr">
        <is>
          <t>FY16</t>
        </is>
      </c>
      <c r="C2" s="4" t="n">
        <v>14000</v>
      </c>
      <c r="D2" s="4" t="n">
        <v>4000</v>
      </c>
      <c r="E2" s="4" t="n">
        <v>3000</v>
      </c>
      <c r="F2" s="4" t="n">
        <v>7000</v>
      </c>
      <c r="G2" s="4" t="n">
        <v>60000</v>
      </c>
      <c r="H2" s="4" t="n">
        <v>65000</v>
      </c>
      <c r="I2" s="4" t="n">
        <v>35000</v>
      </c>
      <c r="J2" s="4" t="n">
        <v>332</v>
      </c>
      <c r="K2" s="4" t="n">
        <v>130000</v>
      </c>
      <c r="L2" s="4" t="n">
        <v>7.5</v>
      </c>
      <c r="M2" s="4" t="n">
        <v>7.46</v>
      </c>
      <c r="N2" s="4" t="n">
        <v>1.2</v>
      </c>
      <c r="O2" s="5">
        <f>IF(G2&gt;0, (F2/G2)*100, 0)</f>
        <v/>
      </c>
      <c r="P2" s="5">
        <f>IF((G2+H2)&gt;0, (F2/(G2+H2))*100, 0)</f>
        <v/>
      </c>
      <c r="Q2" s="5">
        <f>IF(J2&gt;0, F2/J2, 0)</f>
        <v/>
      </c>
      <c r="R2" s="5">
        <f>MAX(0, MIN(35, IF((F2+E2)&lt;&gt;0, (E2/(F2+E2))*100, 0)))</f>
        <v/>
      </c>
      <c r="S2" s="5">
        <f>C2*(1-(R2/100))</f>
        <v/>
      </c>
      <c r="T2" s="5">
        <f>(G2+H2)-I2</f>
        <v/>
      </c>
      <c r="U2" s="5">
        <f>L2+(N2*M2)</f>
        <v/>
      </c>
      <c r="V2" s="5">
        <f>IF(H2&gt;0, (D2/H2)*(1-(R2/100))*100, 0)</f>
        <v/>
      </c>
      <c r="W2" s="5">
        <f>IF((K2+H2)&gt;0, ((K2/(K2+H2))*U2) + ((H2/(K2+H2))*V2), 0)</f>
        <v/>
      </c>
      <c r="X2" s="5">
        <f>S2-((W2/100)*T2)</f>
        <v/>
      </c>
    </row>
    <row r="3">
      <c r="A3" s="6" t="inlineStr">
        <is>
          <t>Tata Motors Ltd</t>
        </is>
      </c>
      <c r="B3" s="6" t="inlineStr">
        <is>
          <t>FY17</t>
        </is>
      </c>
      <c r="C3" s="7" t="n">
        <v>16000</v>
      </c>
      <c r="D3" s="7" t="n">
        <v>4500</v>
      </c>
      <c r="E3" s="7" t="n">
        <v>3500</v>
      </c>
      <c r="F3" s="7" t="n">
        <v>8000</v>
      </c>
      <c r="G3" s="7" t="n">
        <v>65000</v>
      </c>
      <c r="H3" s="7" t="n">
        <v>75000</v>
      </c>
      <c r="I3" s="7" t="n">
        <v>38000</v>
      </c>
      <c r="J3" s="7" t="n">
        <v>332</v>
      </c>
      <c r="K3" s="7" t="n">
        <v>145000</v>
      </c>
      <c r="L3" s="7" t="n">
        <v>7</v>
      </c>
      <c r="M3" s="7" t="n">
        <v>7.46</v>
      </c>
      <c r="N3" s="7" t="n">
        <v>1.2</v>
      </c>
      <c r="O3" s="8">
        <f>IF(G3&gt;0, (F3/G3)*100, 0)</f>
        <v/>
      </c>
      <c r="P3" s="8">
        <f>IF((G3+H3)&gt;0, (F3/(G3+H3))*100, 0)</f>
        <v/>
      </c>
      <c r="Q3" s="8">
        <f>IF(J3&gt;0, F3/J3, 0)</f>
        <v/>
      </c>
      <c r="R3" s="8">
        <f>MAX(0, MIN(35, IF((F3+E3)&lt;&gt;0, (E3/(F3+E3))*100, 0)))</f>
        <v/>
      </c>
      <c r="S3" s="8">
        <f>C3*(1-(R3/100))</f>
        <v/>
      </c>
      <c r="T3" s="8">
        <f>(G3+H3)-I3</f>
        <v/>
      </c>
      <c r="U3" s="8">
        <f>L3+(N3*M3)</f>
        <v/>
      </c>
      <c r="V3" s="8">
        <f>IF(H3&gt;0, (D3/H3)*(1-(R3/100))*100, 0)</f>
        <v/>
      </c>
      <c r="W3" s="8">
        <f>IF((K3+H3)&gt;0, ((K3/(K3+H3))*U3) + ((H3/(K3+H3))*V3), 0)</f>
        <v/>
      </c>
      <c r="X3" s="8">
        <f>S3-((W3/100)*T3)</f>
        <v/>
      </c>
    </row>
    <row r="4">
      <c r="A4" s="3" t="inlineStr">
        <is>
          <t>Tata Motors Ltd</t>
        </is>
      </c>
      <c r="B4" s="3" t="inlineStr">
        <is>
          <t>FY18</t>
        </is>
      </c>
      <c r="C4" s="4" t="n">
        <v>10000</v>
      </c>
      <c r="D4" s="4" t="n">
        <v>5000</v>
      </c>
      <c r="E4" s="4" t="n">
        <v>2500</v>
      </c>
      <c r="F4" s="4" t="n">
        <v>2500</v>
      </c>
      <c r="G4" s="4" t="n">
        <v>67000</v>
      </c>
      <c r="H4" s="4" t="n">
        <v>90000</v>
      </c>
      <c r="I4" s="4" t="n">
        <v>40000</v>
      </c>
      <c r="J4" s="4" t="n">
        <v>332</v>
      </c>
      <c r="K4" s="4" t="n">
        <v>120000</v>
      </c>
      <c r="L4" s="4" t="n">
        <v>7.2</v>
      </c>
      <c r="M4" s="4" t="n">
        <v>7.46</v>
      </c>
      <c r="N4" s="4" t="n">
        <v>1.2</v>
      </c>
      <c r="O4" s="5">
        <f>IF(G4&gt;0, (F4/G4)*100, 0)</f>
        <v/>
      </c>
      <c r="P4" s="5">
        <f>IF((G4+H4)&gt;0, (F4/(G4+H4))*100, 0)</f>
        <v/>
      </c>
      <c r="Q4" s="5">
        <f>IF(J4&gt;0, F4/J4, 0)</f>
        <v/>
      </c>
      <c r="R4" s="5">
        <f>MAX(0, MIN(35, IF((F4+E4)&lt;&gt;0, (E4/(F4+E4))*100, 0)))</f>
        <v/>
      </c>
      <c r="S4" s="5">
        <f>C4*(1-(R4/100))</f>
        <v/>
      </c>
      <c r="T4" s="5">
        <f>(G4+H4)-I4</f>
        <v/>
      </c>
      <c r="U4" s="5">
        <f>L4+(N4*M4)</f>
        <v/>
      </c>
      <c r="V4" s="5">
        <f>IF(H4&gt;0, (D4/H4)*(1-(R4/100))*100, 0)</f>
        <v/>
      </c>
      <c r="W4" s="5">
        <f>IF((K4+H4)&gt;0, ((K4/(K4+H4))*U4) + ((H4/(K4+H4))*V4), 0)</f>
        <v/>
      </c>
      <c r="X4" s="5">
        <f>S4-((W4/100)*T4)</f>
        <v/>
      </c>
    </row>
    <row r="5">
      <c r="A5" s="6" t="inlineStr">
        <is>
          <t>Tata Motors Ltd</t>
        </is>
      </c>
      <c r="B5" s="6" t="inlineStr">
        <is>
          <t>FY19</t>
        </is>
      </c>
      <c r="C5" s="7" t="n">
        <v>8000</v>
      </c>
      <c r="D5" s="7" t="n">
        <v>6000</v>
      </c>
      <c r="E5" s="7" t="n">
        <v>1500</v>
      </c>
      <c r="F5" s="7" t="n">
        <v>500</v>
      </c>
      <c r="G5" s="7" t="n">
        <v>65000</v>
      </c>
      <c r="H5" s="7" t="n">
        <v>110000</v>
      </c>
      <c r="I5" s="7" t="n">
        <v>42000</v>
      </c>
      <c r="J5" s="7" t="n">
        <v>332</v>
      </c>
      <c r="K5" s="7" t="n">
        <v>90000</v>
      </c>
      <c r="L5" s="7" t="n">
        <v>7.4</v>
      </c>
      <c r="M5" s="7" t="n">
        <v>7.46</v>
      </c>
      <c r="N5" s="7" t="n">
        <v>1.2</v>
      </c>
      <c r="O5" s="8">
        <f>IF(G5&gt;0, (F5/G5)*100, 0)</f>
        <v/>
      </c>
      <c r="P5" s="8">
        <f>IF((G5+H5)&gt;0, (F5/(G5+H5))*100, 0)</f>
        <v/>
      </c>
      <c r="Q5" s="8">
        <f>IF(J5&gt;0, F5/J5, 0)</f>
        <v/>
      </c>
      <c r="R5" s="8">
        <f>MAX(0, MIN(35, IF((F5+E5)&lt;&gt;0, (E5/(F5+E5))*100, 0)))</f>
        <v/>
      </c>
      <c r="S5" s="8">
        <f>C5*(1-(R5/100))</f>
        <v/>
      </c>
      <c r="T5" s="8">
        <f>(G5+H5)-I5</f>
        <v/>
      </c>
      <c r="U5" s="8">
        <f>L5+(N5*M5)</f>
        <v/>
      </c>
      <c r="V5" s="8">
        <f>IF(H5&gt;0, (D5/H5)*(1-(R5/100))*100, 0)</f>
        <v/>
      </c>
      <c r="W5" s="8">
        <f>IF((K5+H5)&gt;0, ((K5/(K5+H5))*U5) + ((H5/(K5+H5))*V5), 0)</f>
        <v/>
      </c>
      <c r="X5" s="8">
        <f>S5-((W5/100)*T5)</f>
        <v/>
      </c>
    </row>
    <row r="6">
      <c r="A6" s="3" t="inlineStr">
        <is>
          <t>Tata Motors Ltd</t>
        </is>
      </c>
      <c r="B6" s="3" t="inlineStr">
        <is>
          <t>FY20</t>
        </is>
      </c>
      <c r="C6" s="4" t="n">
        <v>5000</v>
      </c>
      <c r="D6" s="4" t="n">
        <v>7000</v>
      </c>
      <c r="E6" s="4" t="n">
        <v>1200</v>
      </c>
      <c r="F6" s="4" t="n">
        <v>-2200</v>
      </c>
      <c r="G6" s="4" t="n">
        <v>60000</v>
      </c>
      <c r="H6" s="4" t="n">
        <v>125000</v>
      </c>
      <c r="I6" s="4" t="n">
        <v>45000</v>
      </c>
      <c r="J6" s="4" t="n">
        <v>332</v>
      </c>
      <c r="K6" s="4" t="n">
        <v>85000</v>
      </c>
      <c r="L6" s="4" t="n">
        <v>6</v>
      </c>
      <c r="M6" s="4" t="n">
        <v>7.46</v>
      </c>
      <c r="N6" s="4" t="n">
        <v>1.2</v>
      </c>
      <c r="O6" s="5">
        <f>IF(G6&gt;0, (F6/G6)*100, 0)</f>
        <v/>
      </c>
      <c r="P6" s="5">
        <f>IF((G6+H6)&gt;0, (F6/(G6+H6))*100, 0)</f>
        <v/>
      </c>
      <c r="Q6" s="5">
        <f>IF(J6&gt;0, F6/J6, 0)</f>
        <v/>
      </c>
      <c r="R6" s="5">
        <f>MAX(0, MIN(35, IF((F6+E6)&lt;&gt;0, (E6/(F6+E6))*100, 0)))</f>
        <v/>
      </c>
      <c r="S6" s="5">
        <f>C6*(1-(R6/100))</f>
        <v/>
      </c>
      <c r="T6" s="5">
        <f>(G6+H6)-I6</f>
        <v/>
      </c>
      <c r="U6" s="5">
        <f>L6+(N6*M6)</f>
        <v/>
      </c>
      <c r="V6" s="5">
        <f>IF(H6&gt;0, (D6/H6)*(1-(R6/100))*100, 0)</f>
        <v/>
      </c>
      <c r="W6" s="5">
        <f>IF((K6+H6)&gt;0, ((K6/(K6+H6))*U6) + ((H6/(K6+H6))*V6), 0)</f>
        <v/>
      </c>
      <c r="X6" s="5">
        <f>S6-((W6/100)*T6)</f>
        <v/>
      </c>
    </row>
    <row r="7">
      <c r="A7" s="6" t="inlineStr">
        <is>
          <t>Tata Motors Ltd</t>
        </is>
      </c>
      <c r="B7" s="6" t="inlineStr">
        <is>
          <t>FY21</t>
        </is>
      </c>
      <c r="C7" s="7" t="n">
        <v>4200</v>
      </c>
      <c r="D7" s="7" t="n">
        <v>8000</v>
      </c>
      <c r="E7" s="7" t="n">
        <v>1000</v>
      </c>
      <c r="F7" s="7" t="n">
        <v>-13400</v>
      </c>
      <c r="G7" s="7" t="n">
        <v>55000</v>
      </c>
      <c r="H7" s="7" t="n">
        <v>135000</v>
      </c>
      <c r="I7" s="7" t="n">
        <v>46000</v>
      </c>
      <c r="J7" s="7" t="n">
        <v>332</v>
      </c>
      <c r="K7" s="7" t="n">
        <v>100000</v>
      </c>
      <c r="L7" s="7" t="n">
        <v>5.5</v>
      </c>
      <c r="M7" s="7" t="n">
        <v>7.46</v>
      </c>
      <c r="N7" s="7" t="n">
        <v>1.2</v>
      </c>
      <c r="O7" s="8">
        <f>IF(G7&gt;0, (F7/G7)*100, 0)</f>
        <v/>
      </c>
      <c r="P7" s="8">
        <f>IF((G7+H7)&gt;0, (F7/(G7+H7))*100, 0)</f>
        <v/>
      </c>
      <c r="Q7" s="8">
        <f>IF(J7&gt;0, F7/J7, 0)</f>
        <v/>
      </c>
      <c r="R7" s="8">
        <f>MAX(0, MIN(35, IF((F7+E7)&lt;&gt;0, (E7/(F7+E7))*100, 0)))</f>
        <v/>
      </c>
      <c r="S7" s="8">
        <f>C7*(1-(R7/100))</f>
        <v/>
      </c>
      <c r="T7" s="8">
        <f>(G7+H7)-I7</f>
        <v/>
      </c>
      <c r="U7" s="8">
        <f>L7+(N7*M7)</f>
        <v/>
      </c>
      <c r="V7" s="8">
        <f>IF(H7&gt;0, (D7/H7)*(1-(R7/100))*100, 0)</f>
        <v/>
      </c>
      <c r="W7" s="8">
        <f>IF((K7+H7)&gt;0, ((K7/(K7+H7))*U7) + ((H7/(K7+H7))*V7), 0)</f>
        <v/>
      </c>
      <c r="X7" s="8">
        <f>S7-((W7/100)*T7)</f>
        <v/>
      </c>
    </row>
    <row r="8">
      <c r="A8" s="3" t="inlineStr">
        <is>
          <t>Tata Motors Ltd</t>
        </is>
      </c>
      <c r="B8" s="3" t="inlineStr">
        <is>
          <t>FY22</t>
        </is>
      </c>
      <c r="C8" s="4" t="n">
        <v>3500</v>
      </c>
      <c r="D8" s="4" t="n">
        <v>9300</v>
      </c>
      <c r="E8" s="4" t="n">
        <v>1500</v>
      </c>
      <c r="F8" s="4" t="n">
        <v>-11400</v>
      </c>
      <c r="G8" s="4" t="n">
        <v>45000</v>
      </c>
      <c r="H8" s="4" t="n">
        <v>140000</v>
      </c>
      <c r="I8" s="4" t="n">
        <v>40000</v>
      </c>
      <c r="J8" s="4" t="n">
        <v>332</v>
      </c>
      <c r="K8" s="4" t="n">
        <v>140000</v>
      </c>
      <c r="L8" s="4" t="n">
        <v>6</v>
      </c>
      <c r="M8" s="4" t="n">
        <v>7.46</v>
      </c>
      <c r="N8" s="4" t="n">
        <v>1.2</v>
      </c>
      <c r="O8" s="5">
        <f>IF(G8&gt;0, (F8/G8)*100, 0)</f>
        <v/>
      </c>
      <c r="P8" s="5">
        <f>IF((G8+H8)&gt;0, (F8/(G8+H8))*100, 0)</f>
        <v/>
      </c>
      <c r="Q8" s="5">
        <f>IF(J8&gt;0, F8/J8, 0)</f>
        <v/>
      </c>
      <c r="R8" s="5">
        <f>MAX(0, MIN(35, IF((F8+E8)&lt;&gt;0, (E8/(F8+E8))*100, 0)))</f>
        <v/>
      </c>
      <c r="S8" s="5">
        <f>C8*(1-(R8/100))</f>
        <v/>
      </c>
      <c r="T8" s="5">
        <f>(G8+H8)-I8</f>
        <v/>
      </c>
      <c r="U8" s="5">
        <f>L8+(N8*M8)</f>
        <v/>
      </c>
      <c r="V8" s="5">
        <f>IF(H8&gt;0, (D8/H8)*(1-(R8/100))*100, 0)</f>
        <v/>
      </c>
      <c r="W8" s="5">
        <f>IF((K8+H8)&gt;0, ((K8/(K8+H8))*U8) + ((H8/(K8+H8))*V8), 0)</f>
        <v/>
      </c>
      <c r="X8" s="5">
        <f>S8-((W8/100)*T8)</f>
        <v/>
      </c>
    </row>
    <row r="9">
      <c r="A9" s="6" t="inlineStr">
        <is>
          <t>Tata Motors Ltd</t>
        </is>
      </c>
      <c r="B9" s="6" t="inlineStr">
        <is>
          <t>FY23</t>
        </is>
      </c>
      <c r="C9" s="7" t="n">
        <v>7800</v>
      </c>
      <c r="D9" s="7" t="n">
        <v>10200</v>
      </c>
      <c r="E9" s="7" t="n">
        <v>2000</v>
      </c>
      <c r="F9" s="7" t="n">
        <v>2400</v>
      </c>
      <c r="G9" s="7" t="n">
        <v>47000</v>
      </c>
      <c r="H9" s="7" t="n">
        <v>125000</v>
      </c>
      <c r="I9" s="7" t="n">
        <v>50000</v>
      </c>
      <c r="J9" s="7" t="n">
        <v>332</v>
      </c>
      <c r="K9" s="7" t="n">
        <v>150000</v>
      </c>
      <c r="L9" s="7" t="n">
        <v>6.5</v>
      </c>
      <c r="M9" s="7" t="n">
        <v>7.46</v>
      </c>
      <c r="N9" s="7" t="n">
        <v>1.2</v>
      </c>
      <c r="O9" s="8">
        <f>IF(G9&gt;0, (F9/G9)*100, 0)</f>
        <v/>
      </c>
      <c r="P9" s="8">
        <f>IF((G9+H9)&gt;0, (F9/(G9+H9))*100, 0)</f>
        <v/>
      </c>
      <c r="Q9" s="8">
        <f>IF(J9&gt;0, F9/J9, 0)</f>
        <v/>
      </c>
      <c r="R9" s="8">
        <f>MAX(0, MIN(35, IF((F9+E9)&lt;&gt;0, (E9/(F9+E9))*100, 0)))</f>
        <v/>
      </c>
      <c r="S9" s="8">
        <f>C9*(1-(R9/100))</f>
        <v/>
      </c>
      <c r="T9" s="8">
        <f>(G9+H9)-I9</f>
        <v/>
      </c>
      <c r="U9" s="8">
        <f>L9+(N9*M9)</f>
        <v/>
      </c>
      <c r="V9" s="8">
        <f>IF(H9&gt;0, (D9/H9)*(1-(R9/100))*100, 0)</f>
        <v/>
      </c>
      <c r="W9" s="8">
        <f>IF((K9+H9)&gt;0, ((K9/(K9+H9))*U9) + ((H9/(K9+H9))*V9), 0)</f>
        <v/>
      </c>
      <c r="X9" s="8">
        <f>S9-((W9/100)*T9)</f>
        <v/>
      </c>
    </row>
    <row r="10">
      <c r="A10" s="3" t="inlineStr">
        <is>
          <t>Tata Motors Ltd</t>
        </is>
      </c>
      <c r="B10" s="3" t="inlineStr">
        <is>
          <t>FY24</t>
        </is>
      </c>
      <c r="C10" s="4" t="n">
        <v>38000</v>
      </c>
      <c r="D10" s="4" t="n">
        <v>9000</v>
      </c>
      <c r="E10" s="4" t="n">
        <v>-2875</v>
      </c>
      <c r="F10" s="4" t="n">
        <v>31807</v>
      </c>
      <c r="G10" s="4" t="n">
        <v>89000</v>
      </c>
      <c r="H10" s="4" t="n">
        <v>60000</v>
      </c>
      <c r="I10" s="4" t="n">
        <v>35000</v>
      </c>
      <c r="J10" s="4" t="n">
        <v>332</v>
      </c>
      <c r="K10" s="4" t="n">
        <v>160000</v>
      </c>
      <c r="L10" s="4" t="n">
        <v>7</v>
      </c>
      <c r="M10" s="4" t="n">
        <v>7.46</v>
      </c>
      <c r="N10" s="4" t="n">
        <v>1.2</v>
      </c>
      <c r="O10" s="5">
        <f>IF(G10&gt;0, (F10/G10)*100, 0)</f>
        <v/>
      </c>
      <c r="P10" s="5">
        <f>IF((G10+H10)&gt;0, (F10/(G10+H10))*100, 0)</f>
        <v/>
      </c>
      <c r="Q10" s="5">
        <f>IF(J10&gt;0, F10/J10, 0)</f>
        <v/>
      </c>
      <c r="R10" s="5">
        <f>MAX(0, MIN(35, IF((F10+E10)&lt;&gt;0, (E10/(F10+E10))*100, 0)))</f>
        <v/>
      </c>
      <c r="S10" s="5">
        <f>C10*(1-(R10/100))</f>
        <v/>
      </c>
      <c r="T10" s="5">
        <f>(G10+H10)-I10</f>
        <v/>
      </c>
      <c r="U10" s="5">
        <f>L10+(N10*M10)</f>
        <v/>
      </c>
      <c r="V10" s="5">
        <f>IF(H10&gt;0, (D10/H10)*(1-(R10/100))*100, 0)</f>
        <v/>
      </c>
      <c r="W10" s="5">
        <f>IF((K10+H10)&gt;0, ((K10/(K10+H10))*U10) + ((H10/(K10+H10))*V10), 0)</f>
        <v/>
      </c>
      <c r="X10" s="5">
        <f>S10-((W10/100)*T10)</f>
        <v/>
      </c>
    </row>
    <row r="11">
      <c r="A11" s="6" t="inlineStr">
        <is>
          <t>Tata Motors Ltd</t>
        </is>
      </c>
      <c r="B11" s="6" t="inlineStr">
        <is>
          <t>FY25</t>
        </is>
      </c>
      <c r="C11" s="7" t="n">
        <v>28149</v>
      </c>
      <c r="D11" s="7" t="n">
        <v>3367</v>
      </c>
      <c r="E11" s="7" t="n">
        <v>7037</v>
      </c>
      <c r="F11" s="7" t="n">
        <v>21112</v>
      </c>
      <c r="G11" s="7" t="n">
        <v>116144</v>
      </c>
      <c r="H11" s="7" t="n">
        <v>45904</v>
      </c>
      <c r="I11" s="7" t="n">
        <v>14000</v>
      </c>
      <c r="J11" s="7" t="n">
        <v>332</v>
      </c>
      <c r="K11" s="7" t="n">
        <v>168743</v>
      </c>
      <c r="L11" s="7" t="n">
        <v>6.67</v>
      </c>
      <c r="M11" s="7" t="n">
        <v>7.46</v>
      </c>
      <c r="N11" s="7" t="n">
        <v>1.2</v>
      </c>
      <c r="O11" s="8">
        <f>IF(G11&gt;0, (F11/G11)*100, 0)</f>
        <v/>
      </c>
      <c r="P11" s="8">
        <f>IF((G11+H11)&gt;0, (F11/(G11+H11))*100, 0)</f>
        <v/>
      </c>
      <c r="Q11" s="8">
        <f>IF(J11&gt;0, F11/J11, 0)</f>
        <v/>
      </c>
      <c r="R11" s="8">
        <f>MAX(0, MIN(35, IF((F11+E11)&lt;&gt;0, (E11/(F11+E11))*100, 0)))</f>
        <v/>
      </c>
      <c r="S11" s="8">
        <f>C11*(1-(R11/100))</f>
        <v/>
      </c>
      <c r="T11" s="8">
        <f>(G11+H11)-I11</f>
        <v/>
      </c>
      <c r="U11" s="8">
        <f>L11+(N11*M11)</f>
        <v/>
      </c>
      <c r="V11" s="8">
        <f>IF(H11&gt;0, (D11/H11)*(1-(R11/100))*100, 0)</f>
        <v/>
      </c>
      <c r="W11" s="8">
        <f>IF((K11+H11)&gt;0, ((K11/(K11+H11))*U11) + ((H11/(K11+H11))*V11), 0)</f>
        <v/>
      </c>
      <c r="X11" s="8">
        <f>S11-((W11/100)*T11)</f>
        <v/>
      </c>
    </row>
    <row r="12">
      <c r="A12" s="3" t="inlineStr">
        <is>
          <t>Maruti Suzuki India Ltd</t>
        </is>
      </c>
      <c r="B12" s="3" t="inlineStr">
        <is>
          <t>FY16</t>
        </is>
      </c>
      <c r="C12" s="4" t="n">
        <v>7000</v>
      </c>
      <c r="D12" s="4" t="n">
        <v>80</v>
      </c>
      <c r="E12" s="4" t="n">
        <v>1800</v>
      </c>
      <c r="F12" s="4" t="n">
        <v>5120</v>
      </c>
      <c r="G12" s="4" t="n">
        <v>30000</v>
      </c>
      <c r="H12" s="4" t="n">
        <v>800</v>
      </c>
      <c r="I12" s="4" t="n">
        <v>20000</v>
      </c>
      <c r="J12" s="4" t="n">
        <v>31.4</v>
      </c>
      <c r="K12" s="4" t="n">
        <v>150000</v>
      </c>
      <c r="L12" s="4" t="n">
        <v>7.5</v>
      </c>
      <c r="M12" s="4" t="n">
        <v>7.46</v>
      </c>
      <c r="N12" s="4" t="n">
        <v>0.85</v>
      </c>
      <c r="O12" s="5">
        <f>IF(G12&gt;0, (F12/G12)*100, 0)</f>
        <v/>
      </c>
      <c r="P12" s="5">
        <f>IF((G12+H12)&gt;0, (F12/(G12+H12))*100, 0)</f>
        <v/>
      </c>
      <c r="Q12" s="5">
        <f>IF(J12&gt;0, F12/J12, 0)</f>
        <v/>
      </c>
      <c r="R12" s="5">
        <f>MAX(0, MIN(35, IF((F12+E12)&lt;&gt;0, (E12/(F12+E12))*100, 0)))</f>
        <v/>
      </c>
      <c r="S12" s="5">
        <f>C12*(1-(R12/100))</f>
        <v/>
      </c>
      <c r="T12" s="5">
        <f>(G12+H12)-I12</f>
        <v/>
      </c>
      <c r="U12" s="5">
        <f>L12+(N12*M12)</f>
        <v/>
      </c>
      <c r="V12" s="5">
        <f>IF(H12&gt;0, (D12/H12)*(1-(R12/100))*100, 0)</f>
        <v/>
      </c>
      <c r="W12" s="5">
        <f>IF((K12+H12)&gt;0, ((K12/(K12+H12))*U12) + ((H12/(K12+H12))*V12), 0)</f>
        <v/>
      </c>
      <c r="X12" s="5">
        <f>S12-((W12/100)*T12)</f>
        <v/>
      </c>
    </row>
    <row r="13">
      <c r="A13" s="6" t="inlineStr">
        <is>
          <t>Maruti Suzuki India Ltd</t>
        </is>
      </c>
      <c r="B13" s="6" t="inlineStr">
        <is>
          <t>FY17</t>
        </is>
      </c>
      <c r="C13" s="7" t="n">
        <v>8500</v>
      </c>
      <c r="D13" s="7" t="n">
        <v>85</v>
      </c>
      <c r="E13" s="7" t="n">
        <v>2200</v>
      </c>
      <c r="F13" s="7" t="n">
        <v>6215</v>
      </c>
      <c r="G13" s="7" t="n">
        <v>35000</v>
      </c>
      <c r="H13" s="7" t="n">
        <v>700</v>
      </c>
      <c r="I13" s="7" t="n">
        <v>25000</v>
      </c>
      <c r="J13" s="7" t="n">
        <v>31.4</v>
      </c>
      <c r="K13" s="7" t="n">
        <v>180000</v>
      </c>
      <c r="L13" s="7" t="n">
        <v>7</v>
      </c>
      <c r="M13" s="7" t="n">
        <v>7.46</v>
      </c>
      <c r="N13" s="7" t="n">
        <v>0.85</v>
      </c>
      <c r="O13" s="8">
        <f>IF(G13&gt;0, (F13/G13)*100, 0)</f>
        <v/>
      </c>
      <c r="P13" s="8">
        <f>IF((G13+H13)&gt;0, (F13/(G13+H13))*100, 0)</f>
        <v/>
      </c>
      <c r="Q13" s="8">
        <f>IF(J13&gt;0, F13/J13, 0)</f>
        <v/>
      </c>
      <c r="R13" s="8">
        <f>MAX(0, MIN(35, IF((F13+E13)&lt;&gt;0, (E13/(F13+E13))*100, 0)))</f>
        <v/>
      </c>
      <c r="S13" s="8">
        <f>C13*(1-(R13/100))</f>
        <v/>
      </c>
      <c r="T13" s="8">
        <f>(G13+H13)-I13</f>
        <v/>
      </c>
      <c r="U13" s="8">
        <f>L13+(N13*M13)</f>
        <v/>
      </c>
      <c r="V13" s="8">
        <f>IF(H13&gt;0, (D13/H13)*(1-(R13/100))*100, 0)</f>
        <v/>
      </c>
      <c r="W13" s="8">
        <f>IF((K13+H13)&gt;0, ((K13/(K13+H13))*U13) + ((H13/(K13+H13))*V13), 0)</f>
        <v/>
      </c>
      <c r="X13" s="8">
        <f>S13-((W13/100)*T13)</f>
        <v/>
      </c>
    </row>
    <row r="14">
      <c r="A14" s="3" t="inlineStr">
        <is>
          <t>Maruti Suzuki India Ltd</t>
        </is>
      </c>
      <c r="B14" s="3" t="inlineStr">
        <is>
          <t>FY18</t>
        </is>
      </c>
      <c r="C14" s="4" t="n">
        <v>10000</v>
      </c>
      <c r="D14" s="4" t="n">
        <v>90</v>
      </c>
      <c r="E14" s="4" t="n">
        <v>2800</v>
      </c>
      <c r="F14" s="4" t="n">
        <v>7110</v>
      </c>
      <c r="G14" s="4" t="n">
        <v>40000</v>
      </c>
      <c r="H14" s="4" t="n">
        <v>600</v>
      </c>
      <c r="I14" s="4" t="n">
        <v>30000</v>
      </c>
      <c r="J14" s="4" t="n">
        <v>31.4</v>
      </c>
      <c r="K14" s="4" t="n">
        <v>220000</v>
      </c>
      <c r="L14" s="4" t="n">
        <v>7.2</v>
      </c>
      <c r="M14" s="4" t="n">
        <v>7.46</v>
      </c>
      <c r="N14" s="4" t="n">
        <v>0.85</v>
      </c>
      <c r="O14" s="5">
        <f>IF(G14&gt;0, (F14/G14)*100, 0)</f>
        <v/>
      </c>
      <c r="P14" s="5">
        <f>IF((G14+H14)&gt;0, (F14/(G14+H14))*100, 0)</f>
        <v/>
      </c>
      <c r="Q14" s="5">
        <f>IF(J14&gt;0, F14/J14, 0)</f>
        <v/>
      </c>
      <c r="R14" s="5">
        <f>MAX(0, MIN(35, IF((F14+E14)&lt;&gt;0, (E14/(F14+E14))*100, 0)))</f>
        <v/>
      </c>
      <c r="S14" s="5">
        <f>C14*(1-(R14/100))</f>
        <v/>
      </c>
      <c r="T14" s="5">
        <f>(G14+H14)-I14</f>
        <v/>
      </c>
      <c r="U14" s="5">
        <f>L14+(N14*M14)</f>
        <v/>
      </c>
      <c r="V14" s="5">
        <f>IF(H14&gt;0, (D14/H14)*(1-(R14/100))*100, 0)</f>
        <v/>
      </c>
      <c r="W14" s="5">
        <f>IF((K14+H14)&gt;0, ((K14/(K14+H14))*U14) + ((H14/(K14+H14))*V14), 0)</f>
        <v/>
      </c>
      <c r="X14" s="5">
        <f>S14-((W14/100)*T14)</f>
        <v/>
      </c>
    </row>
    <row r="15">
      <c r="A15" s="6" t="inlineStr">
        <is>
          <t>Maruti Suzuki India Ltd</t>
        </is>
      </c>
      <c r="B15" s="6" t="inlineStr">
        <is>
          <t>FY19</t>
        </is>
      </c>
      <c r="C15" s="7" t="n">
        <v>9500</v>
      </c>
      <c r="D15" s="7" t="n">
        <v>95</v>
      </c>
      <c r="E15" s="7" t="n">
        <v>2500</v>
      </c>
      <c r="F15" s="7" t="n">
        <v>6905</v>
      </c>
      <c r="G15" s="7" t="n">
        <v>45000</v>
      </c>
      <c r="H15" s="7" t="n">
        <v>550</v>
      </c>
      <c r="I15" s="7" t="n">
        <v>35000</v>
      </c>
      <c r="J15" s="7" t="n">
        <v>31.4</v>
      </c>
      <c r="K15" s="7" t="n">
        <v>210000</v>
      </c>
      <c r="L15" s="7" t="n">
        <v>7.4</v>
      </c>
      <c r="M15" s="7" t="n">
        <v>7.46</v>
      </c>
      <c r="N15" s="7" t="n">
        <v>0.85</v>
      </c>
      <c r="O15" s="8">
        <f>IF(G15&gt;0, (F15/G15)*100, 0)</f>
        <v/>
      </c>
      <c r="P15" s="8">
        <f>IF((G15+H15)&gt;0, (F15/(G15+H15))*100, 0)</f>
        <v/>
      </c>
      <c r="Q15" s="8">
        <f>IF(J15&gt;0, F15/J15, 0)</f>
        <v/>
      </c>
      <c r="R15" s="8">
        <f>MAX(0, MIN(35, IF((F15+E15)&lt;&gt;0, (E15/(F15+E15))*100, 0)))</f>
        <v/>
      </c>
      <c r="S15" s="8">
        <f>C15*(1-(R15/100))</f>
        <v/>
      </c>
      <c r="T15" s="8">
        <f>(G15+H15)-I15</f>
        <v/>
      </c>
      <c r="U15" s="8">
        <f>L15+(N15*M15)</f>
        <v/>
      </c>
      <c r="V15" s="8">
        <f>IF(H15&gt;0, (D15/H15)*(1-(R15/100))*100, 0)</f>
        <v/>
      </c>
      <c r="W15" s="8">
        <f>IF((K15+H15)&gt;0, ((K15/(K15+H15))*U15) + ((H15/(K15+H15))*V15), 0)</f>
        <v/>
      </c>
      <c r="X15" s="8">
        <f>S15-((W15/100)*T15)</f>
        <v/>
      </c>
    </row>
    <row r="16">
      <c r="A16" s="3" t="inlineStr">
        <is>
          <t>Maruti Suzuki India Ltd</t>
        </is>
      </c>
      <c r="B16" s="3" t="inlineStr">
        <is>
          <t>FY20</t>
        </is>
      </c>
      <c r="C16" s="4" t="n">
        <v>8000</v>
      </c>
      <c r="D16" s="4" t="n">
        <v>100</v>
      </c>
      <c r="E16" s="4" t="n">
        <v>2000</v>
      </c>
      <c r="F16" s="4" t="n">
        <v>5900</v>
      </c>
      <c r="G16" s="4" t="n">
        <v>48000</v>
      </c>
      <c r="H16" s="4" t="n">
        <v>500</v>
      </c>
      <c r="I16" s="4" t="n">
        <v>38000</v>
      </c>
      <c r="J16" s="4" t="n">
        <v>31.4</v>
      </c>
      <c r="K16" s="4" t="n">
        <v>190000</v>
      </c>
      <c r="L16" s="4" t="n">
        <v>6</v>
      </c>
      <c r="M16" s="4" t="n">
        <v>7.46</v>
      </c>
      <c r="N16" s="4" t="n">
        <v>0.85</v>
      </c>
      <c r="O16" s="5">
        <f>IF(G16&gt;0, (F16/G16)*100, 0)</f>
        <v/>
      </c>
      <c r="P16" s="5">
        <f>IF((G16+H16)&gt;0, (F16/(G16+H16))*100, 0)</f>
        <v/>
      </c>
      <c r="Q16" s="5">
        <f>IF(J16&gt;0, F16/J16, 0)</f>
        <v/>
      </c>
      <c r="R16" s="5">
        <f>MAX(0, MIN(35, IF((F16+E16)&lt;&gt;0, (E16/(F16+E16))*100, 0)))</f>
        <v/>
      </c>
      <c r="S16" s="5">
        <f>C16*(1-(R16/100))</f>
        <v/>
      </c>
      <c r="T16" s="5">
        <f>(G16+H16)-I16</f>
        <v/>
      </c>
      <c r="U16" s="5">
        <f>L16+(N16*M16)</f>
        <v/>
      </c>
      <c r="V16" s="5">
        <f>IF(H16&gt;0, (D16/H16)*(1-(R16/100))*100, 0)</f>
        <v/>
      </c>
      <c r="W16" s="5">
        <f>IF((K16+H16)&gt;0, ((K16/(K16+H16))*U16) + ((H16/(K16+H16))*V16), 0)</f>
        <v/>
      </c>
      <c r="X16" s="5">
        <f>S16-((W16/100)*T16)</f>
        <v/>
      </c>
    </row>
    <row r="17">
      <c r="A17" s="6" t="inlineStr">
        <is>
          <t>Maruti Suzuki India Ltd</t>
        </is>
      </c>
      <c r="B17" s="6" t="inlineStr">
        <is>
          <t>FY21</t>
        </is>
      </c>
      <c r="C17" s="7" t="n">
        <v>6500</v>
      </c>
      <c r="D17" s="7" t="n">
        <v>100</v>
      </c>
      <c r="E17" s="7" t="n">
        <v>1500</v>
      </c>
      <c r="F17" s="7" t="n">
        <v>4200</v>
      </c>
      <c r="G17" s="7" t="n">
        <v>51000</v>
      </c>
      <c r="H17" s="7" t="n">
        <v>500</v>
      </c>
      <c r="I17" s="7" t="n">
        <v>40000</v>
      </c>
      <c r="J17" s="7" t="n">
        <v>31.4</v>
      </c>
      <c r="K17" s="7" t="n">
        <v>200000</v>
      </c>
      <c r="L17" s="7" t="n">
        <v>5.5</v>
      </c>
      <c r="M17" s="7" t="n">
        <v>7.46</v>
      </c>
      <c r="N17" s="7" t="n">
        <v>0.85</v>
      </c>
      <c r="O17" s="8">
        <f>IF(G17&gt;0, (F17/G17)*100, 0)</f>
        <v/>
      </c>
      <c r="P17" s="8">
        <f>IF((G17+H17)&gt;0, (F17/(G17+H17))*100, 0)</f>
        <v/>
      </c>
      <c r="Q17" s="8">
        <f>IF(J17&gt;0, F17/J17, 0)</f>
        <v/>
      </c>
      <c r="R17" s="8">
        <f>MAX(0, MIN(35, IF((F17+E17)&lt;&gt;0, (E17/(F17+E17))*100, 0)))</f>
        <v/>
      </c>
      <c r="S17" s="8">
        <f>C17*(1-(R17/100))</f>
        <v/>
      </c>
      <c r="T17" s="8">
        <f>(G17+H17)-I17</f>
        <v/>
      </c>
      <c r="U17" s="8">
        <f>L17+(N17*M17)</f>
        <v/>
      </c>
      <c r="V17" s="8">
        <f>IF(H17&gt;0, (D17/H17)*(1-(R17/100))*100, 0)</f>
        <v/>
      </c>
      <c r="W17" s="8">
        <f>IF((K17+H17)&gt;0, ((K17/(K17+H17))*U17) + ((H17/(K17+H17))*V17), 0)</f>
        <v/>
      </c>
      <c r="X17" s="8">
        <f>S17-((W17/100)*T17)</f>
        <v/>
      </c>
    </row>
    <row r="18">
      <c r="A18" s="3" t="inlineStr">
        <is>
          <t>Maruti Suzuki India Ltd</t>
        </is>
      </c>
      <c r="B18" s="3" t="inlineStr">
        <is>
          <t>FY22</t>
        </is>
      </c>
      <c r="C18" s="4" t="n">
        <v>5000</v>
      </c>
      <c r="D18" s="4" t="n">
        <v>120</v>
      </c>
      <c r="E18" s="4" t="n">
        <v>1200</v>
      </c>
      <c r="F18" s="4" t="n">
        <v>3700</v>
      </c>
      <c r="G18" s="4" t="n">
        <v>54000</v>
      </c>
      <c r="H18" s="4" t="n">
        <v>400</v>
      </c>
      <c r="I18" s="4" t="n">
        <v>42000</v>
      </c>
      <c r="J18" s="4" t="n">
        <v>31.4</v>
      </c>
      <c r="K18" s="4" t="n">
        <v>220000</v>
      </c>
      <c r="L18" s="4" t="n">
        <v>6</v>
      </c>
      <c r="M18" s="4" t="n">
        <v>7.46</v>
      </c>
      <c r="N18" s="4" t="n">
        <v>0.85</v>
      </c>
      <c r="O18" s="5">
        <f>IF(G18&gt;0, (F18/G18)*100, 0)</f>
        <v/>
      </c>
      <c r="P18" s="5">
        <f>IF((G18+H18)&gt;0, (F18/(G18+H18))*100, 0)</f>
        <v/>
      </c>
      <c r="Q18" s="5">
        <f>IF(J18&gt;0, F18/J18, 0)</f>
        <v/>
      </c>
      <c r="R18" s="5">
        <f>MAX(0, MIN(35, IF((F18+E18)&lt;&gt;0, (E18/(F18+E18))*100, 0)))</f>
        <v/>
      </c>
      <c r="S18" s="5">
        <f>C18*(1-(R18/100))</f>
        <v/>
      </c>
      <c r="T18" s="5">
        <f>(G18+H18)-I18</f>
        <v/>
      </c>
      <c r="U18" s="5">
        <f>L18+(N18*M18)</f>
        <v/>
      </c>
      <c r="V18" s="5">
        <f>IF(H18&gt;0, (D18/H18)*(1-(R18/100))*100, 0)</f>
        <v/>
      </c>
      <c r="W18" s="5">
        <f>IF((K18+H18)&gt;0, ((K18/(K18+H18))*U18) + ((H18/(K18+H18))*V18), 0)</f>
        <v/>
      </c>
      <c r="X18" s="5">
        <f>S18-((W18/100)*T18)</f>
        <v/>
      </c>
    </row>
    <row r="19">
      <c r="A19" s="6" t="inlineStr">
        <is>
          <t>Maruti Suzuki India Ltd</t>
        </is>
      </c>
      <c r="B19" s="6" t="inlineStr">
        <is>
          <t>FY23</t>
        </is>
      </c>
      <c r="C19" s="7" t="n">
        <v>10500</v>
      </c>
      <c r="D19" s="7" t="n">
        <v>130</v>
      </c>
      <c r="E19" s="7" t="n">
        <v>2500</v>
      </c>
      <c r="F19" s="7" t="n">
        <v>8000</v>
      </c>
      <c r="G19" s="7" t="n">
        <v>62000</v>
      </c>
      <c r="H19" s="7" t="n">
        <v>800</v>
      </c>
      <c r="I19" s="7" t="n">
        <v>45000</v>
      </c>
      <c r="J19" s="7" t="n">
        <v>31.4</v>
      </c>
      <c r="K19" s="7" t="n">
        <v>250000</v>
      </c>
      <c r="L19" s="7" t="n">
        <v>6.5</v>
      </c>
      <c r="M19" s="7" t="n">
        <v>7.46</v>
      </c>
      <c r="N19" s="7" t="n">
        <v>0.85</v>
      </c>
      <c r="O19" s="8">
        <f>IF(G19&gt;0, (F19/G19)*100, 0)</f>
        <v/>
      </c>
      <c r="P19" s="8">
        <f>IF((G19+H19)&gt;0, (F19/(G19+H19))*100, 0)</f>
        <v/>
      </c>
      <c r="Q19" s="8">
        <f>IF(J19&gt;0, F19/J19, 0)</f>
        <v/>
      </c>
      <c r="R19" s="8">
        <f>MAX(0, MIN(35, IF((F19+E19)&lt;&gt;0, (E19/(F19+E19))*100, 0)))</f>
        <v/>
      </c>
      <c r="S19" s="8">
        <f>C19*(1-(R19/100))</f>
        <v/>
      </c>
      <c r="T19" s="8">
        <f>(G19+H19)-I19</f>
        <v/>
      </c>
      <c r="U19" s="8">
        <f>L19+(N19*M19)</f>
        <v/>
      </c>
      <c r="V19" s="8">
        <f>IF(H19&gt;0, (D19/H19)*(1-(R19/100))*100, 0)</f>
        <v/>
      </c>
      <c r="W19" s="8">
        <f>IF((K19+H19)&gt;0, ((K19/(K19+H19))*U19) + ((H19/(K19+H19))*V19), 0)</f>
        <v/>
      </c>
      <c r="X19" s="8">
        <f>S19-((W19/100)*T19)</f>
        <v/>
      </c>
    </row>
    <row r="20">
      <c r="A20" s="3" t="inlineStr">
        <is>
          <t>Maruti Suzuki India Ltd</t>
        </is>
      </c>
      <c r="B20" s="3" t="inlineStr">
        <is>
          <t>FY24</t>
        </is>
      </c>
      <c r="C20" s="4" t="n">
        <v>15500</v>
      </c>
      <c r="D20" s="4" t="n">
        <v>140</v>
      </c>
      <c r="E20" s="4" t="n">
        <v>3900</v>
      </c>
      <c r="F20" s="4" t="n">
        <v>13488</v>
      </c>
      <c r="G20" s="4" t="n">
        <v>86000</v>
      </c>
      <c r="H20" s="4" t="n">
        <v>1000</v>
      </c>
      <c r="I20" s="4" t="n">
        <v>40000</v>
      </c>
      <c r="J20" s="4" t="n">
        <v>31.4</v>
      </c>
      <c r="K20" s="4" t="n">
        <v>300000</v>
      </c>
      <c r="L20" s="4" t="n">
        <v>7</v>
      </c>
      <c r="M20" s="4" t="n">
        <v>7.46</v>
      </c>
      <c r="N20" s="4" t="n">
        <v>0.85</v>
      </c>
      <c r="O20" s="5">
        <f>IF(G20&gt;0, (F20/G20)*100, 0)</f>
        <v/>
      </c>
      <c r="P20" s="5">
        <f>IF((G20+H20)&gt;0, (F20/(G20+H20))*100, 0)</f>
        <v/>
      </c>
      <c r="Q20" s="5">
        <f>IF(J20&gt;0, F20/J20, 0)</f>
        <v/>
      </c>
      <c r="R20" s="5">
        <f>MAX(0, MIN(35, IF((F20+E20)&lt;&gt;0, (E20/(F20+E20))*100, 0)))</f>
        <v/>
      </c>
      <c r="S20" s="5">
        <f>C20*(1-(R20/100))</f>
        <v/>
      </c>
      <c r="T20" s="5">
        <f>(G20+H20)-I20</f>
        <v/>
      </c>
      <c r="U20" s="5">
        <f>L20+(N20*M20)</f>
        <v/>
      </c>
      <c r="V20" s="5">
        <f>IF(H20&gt;0, (D20/H20)*(1-(R20/100))*100, 0)</f>
        <v/>
      </c>
      <c r="W20" s="5">
        <f>IF((K20+H20)&gt;0, ((K20/(K20+H20))*U20) + ((H20/(K20+H20))*V20), 0)</f>
        <v/>
      </c>
      <c r="X20" s="5">
        <f>S20-((W20/100)*T20)</f>
        <v/>
      </c>
    </row>
    <row r="21">
      <c r="A21" s="6" t="inlineStr">
        <is>
          <t>Maruti Suzuki India Ltd</t>
        </is>
      </c>
      <c r="B21" s="6" t="inlineStr">
        <is>
          <t>FY25</t>
        </is>
      </c>
      <c r="C21" s="7" t="n">
        <v>19376</v>
      </c>
      <c r="D21" s="7" t="n">
        <v>150</v>
      </c>
      <c r="E21" s="7" t="n">
        <v>5228</v>
      </c>
      <c r="F21" s="7" t="n">
        <v>13955</v>
      </c>
      <c r="G21" s="7" t="n">
        <v>94046</v>
      </c>
      <c r="H21" s="7" t="n">
        <v>1200</v>
      </c>
      <c r="I21" s="7" t="n">
        <v>14012</v>
      </c>
      <c r="J21" s="7" t="n">
        <v>31.4</v>
      </c>
      <c r="K21" s="7" t="n">
        <v>411804</v>
      </c>
      <c r="L21" s="7" t="n">
        <v>6.67</v>
      </c>
      <c r="M21" s="7" t="n">
        <v>7.46</v>
      </c>
      <c r="N21" s="7" t="n">
        <v>0.85</v>
      </c>
      <c r="O21" s="8">
        <f>IF(G21&gt;0, (F21/G21)*100, 0)</f>
        <v/>
      </c>
      <c r="P21" s="8">
        <f>IF((G21+H21)&gt;0, (F21/(G21+H21))*100, 0)</f>
        <v/>
      </c>
      <c r="Q21" s="8">
        <f>IF(J21&gt;0, F21/J21, 0)</f>
        <v/>
      </c>
      <c r="R21" s="8">
        <f>MAX(0, MIN(35, IF((F21+E21)&lt;&gt;0, (E21/(F21+E21))*100, 0)))</f>
        <v/>
      </c>
      <c r="S21" s="8">
        <f>C21*(1-(R21/100))</f>
        <v/>
      </c>
      <c r="T21" s="8">
        <f>(G21+H21)-I21</f>
        <v/>
      </c>
      <c r="U21" s="8">
        <f>L21+(N21*M21)</f>
        <v/>
      </c>
      <c r="V21" s="8">
        <f>IF(H21&gt;0, (D21/H21)*(1-(R21/100))*100, 0)</f>
        <v/>
      </c>
      <c r="W21" s="8">
        <f>IF((K21+H21)&gt;0, ((K21/(K21+H21))*U21) + ((H21/(K21+H21))*V21), 0)</f>
        <v/>
      </c>
      <c r="X21" s="8">
        <f>S21-((W21/100)*T21)</f>
        <v/>
      </c>
    </row>
    <row r="22">
      <c r="A22" s="3" t="inlineStr">
        <is>
          <t>Larsen &amp; Toubro Ltd</t>
        </is>
      </c>
      <c r="B22" s="3" t="inlineStr">
        <is>
          <t>FY16</t>
        </is>
      </c>
      <c r="C22" s="4" t="n">
        <v>11000</v>
      </c>
      <c r="D22" s="4" t="n">
        <v>2500</v>
      </c>
      <c r="E22" s="4" t="n">
        <v>2500</v>
      </c>
      <c r="F22" s="4" t="n">
        <v>6000</v>
      </c>
      <c r="G22" s="4" t="n">
        <v>45000</v>
      </c>
      <c r="H22" s="4" t="n">
        <v>80000</v>
      </c>
      <c r="I22" s="4" t="n">
        <v>8000</v>
      </c>
      <c r="J22" s="4" t="n">
        <v>140</v>
      </c>
      <c r="K22" s="4" t="n">
        <v>120000</v>
      </c>
      <c r="L22" s="4" t="n">
        <v>7.5</v>
      </c>
      <c r="M22" s="4" t="n">
        <v>7.46</v>
      </c>
      <c r="N22" s="4" t="n">
        <v>1.1</v>
      </c>
      <c r="O22" s="5">
        <f>IF(G22&gt;0, (F22/G22)*100, 0)</f>
        <v/>
      </c>
      <c r="P22" s="5">
        <f>IF((G22+H22)&gt;0, (F22/(G22+H22))*100, 0)</f>
        <v/>
      </c>
      <c r="Q22" s="5">
        <f>IF(J22&gt;0, F22/J22, 0)</f>
        <v/>
      </c>
      <c r="R22" s="5">
        <f>MAX(0, MIN(35, IF((F22+E22)&lt;&gt;0, (E22/(F22+E22))*100, 0)))</f>
        <v/>
      </c>
      <c r="S22" s="5">
        <f>C22*(1-(R22/100))</f>
        <v/>
      </c>
      <c r="T22" s="5">
        <f>(G22+H22)-I22</f>
        <v/>
      </c>
      <c r="U22" s="5">
        <f>L22+(N22*M22)</f>
        <v/>
      </c>
      <c r="V22" s="5">
        <f>IF(H22&gt;0, (D22/H22)*(1-(R22/100))*100, 0)</f>
        <v/>
      </c>
      <c r="W22" s="5">
        <f>IF((K22+H22)&gt;0, ((K22/(K22+H22))*U22) + ((H22/(K22+H22))*V22), 0)</f>
        <v/>
      </c>
      <c r="X22" s="5">
        <f>S22-((W22/100)*T22)</f>
        <v/>
      </c>
    </row>
    <row r="23">
      <c r="A23" s="6" t="inlineStr">
        <is>
          <t>Larsen &amp; Toubro Ltd</t>
        </is>
      </c>
      <c r="B23" s="6" t="inlineStr">
        <is>
          <t>FY17</t>
        </is>
      </c>
      <c r="C23" s="7" t="n">
        <v>12000</v>
      </c>
      <c r="D23" s="7" t="n">
        <v>2800</v>
      </c>
      <c r="E23" s="7" t="n">
        <v>2800</v>
      </c>
      <c r="F23" s="7" t="n">
        <v>6400</v>
      </c>
      <c r="G23" s="7" t="n">
        <v>50000</v>
      </c>
      <c r="H23" s="7" t="n">
        <v>90000</v>
      </c>
      <c r="I23" s="7" t="n">
        <v>9000</v>
      </c>
      <c r="J23" s="7" t="n">
        <v>140</v>
      </c>
      <c r="K23" s="7" t="n">
        <v>135000</v>
      </c>
      <c r="L23" s="7" t="n">
        <v>7</v>
      </c>
      <c r="M23" s="7" t="n">
        <v>7.46</v>
      </c>
      <c r="N23" s="7" t="n">
        <v>1.1</v>
      </c>
      <c r="O23" s="8">
        <f>IF(G23&gt;0, (F23/G23)*100, 0)</f>
        <v/>
      </c>
      <c r="P23" s="8">
        <f>IF((G23+H23)&gt;0, (F23/(G23+H23))*100, 0)</f>
        <v/>
      </c>
      <c r="Q23" s="8">
        <f>IF(J23&gt;0, F23/J23, 0)</f>
        <v/>
      </c>
      <c r="R23" s="8">
        <f>MAX(0, MIN(35, IF((F23+E23)&lt;&gt;0, (E23/(F23+E23))*100, 0)))</f>
        <v/>
      </c>
      <c r="S23" s="8">
        <f>C23*(1-(R23/100))</f>
        <v/>
      </c>
      <c r="T23" s="8">
        <f>(G23+H23)-I23</f>
        <v/>
      </c>
      <c r="U23" s="8">
        <f>L23+(N23*M23)</f>
        <v/>
      </c>
      <c r="V23" s="8">
        <f>IF(H23&gt;0, (D23/H23)*(1-(R23/100))*100, 0)</f>
        <v/>
      </c>
      <c r="W23" s="8">
        <f>IF((K23+H23)&gt;0, ((K23/(K23+H23))*U23) + ((H23/(K23+H23))*V23), 0)</f>
        <v/>
      </c>
      <c r="X23" s="8">
        <f>S23-((W23/100)*T23)</f>
        <v/>
      </c>
    </row>
    <row r="24">
      <c r="A24" s="3" t="inlineStr">
        <is>
          <t>Larsen &amp; Toubro Ltd</t>
        </is>
      </c>
      <c r="B24" s="3" t="inlineStr">
        <is>
          <t>FY18</t>
        </is>
      </c>
      <c r="C24" s="4" t="n">
        <v>13000</v>
      </c>
      <c r="D24" s="4" t="n">
        <v>3100</v>
      </c>
      <c r="E24" s="4" t="n">
        <v>3000</v>
      </c>
      <c r="F24" s="4" t="n">
        <v>6900</v>
      </c>
      <c r="G24" s="4" t="n">
        <v>55000</v>
      </c>
      <c r="H24" s="4" t="n">
        <v>100000</v>
      </c>
      <c r="I24" s="4" t="n">
        <v>10000</v>
      </c>
      <c r="J24" s="4" t="n">
        <v>140</v>
      </c>
      <c r="K24" s="4" t="n">
        <v>150000</v>
      </c>
      <c r="L24" s="4" t="n">
        <v>7.2</v>
      </c>
      <c r="M24" s="4" t="n">
        <v>7.46</v>
      </c>
      <c r="N24" s="4" t="n">
        <v>1.1</v>
      </c>
      <c r="O24" s="5">
        <f>IF(G24&gt;0, (F24/G24)*100, 0)</f>
        <v/>
      </c>
      <c r="P24" s="5">
        <f>IF((G24+H24)&gt;0, (F24/(G24+H24))*100, 0)</f>
        <v/>
      </c>
      <c r="Q24" s="5">
        <f>IF(J24&gt;0, F24/J24, 0)</f>
        <v/>
      </c>
      <c r="R24" s="5">
        <f>MAX(0, MIN(35, IF((F24+E24)&lt;&gt;0, (E24/(F24+E24))*100, 0)))</f>
        <v/>
      </c>
      <c r="S24" s="5">
        <f>C24*(1-(R24/100))</f>
        <v/>
      </c>
      <c r="T24" s="5">
        <f>(G24+H24)-I24</f>
        <v/>
      </c>
      <c r="U24" s="5">
        <f>L24+(N24*M24)</f>
        <v/>
      </c>
      <c r="V24" s="5">
        <f>IF(H24&gt;0, (D24/H24)*(1-(R24/100))*100, 0)</f>
        <v/>
      </c>
      <c r="W24" s="5">
        <f>IF((K24+H24)&gt;0, ((K24/(K24+H24))*U24) + ((H24/(K24+H24))*V24), 0)</f>
        <v/>
      </c>
      <c r="X24" s="5">
        <f>S24-((W24/100)*T24)</f>
        <v/>
      </c>
    </row>
    <row r="25">
      <c r="A25" s="6" t="inlineStr">
        <is>
          <t>Larsen &amp; Toubro Ltd</t>
        </is>
      </c>
      <c r="B25" s="6" t="inlineStr">
        <is>
          <t>FY19</t>
        </is>
      </c>
      <c r="C25" s="7" t="n">
        <v>14500</v>
      </c>
      <c r="D25" s="7" t="n">
        <v>3500</v>
      </c>
      <c r="E25" s="7" t="n">
        <v>3300</v>
      </c>
      <c r="F25" s="7" t="n">
        <v>7700</v>
      </c>
      <c r="G25" s="7" t="n">
        <v>65000</v>
      </c>
      <c r="H25" s="7" t="n">
        <v>110000</v>
      </c>
      <c r="I25" s="7" t="n">
        <v>12000</v>
      </c>
      <c r="J25" s="7" t="n">
        <v>140</v>
      </c>
      <c r="K25" s="7" t="n">
        <v>160000</v>
      </c>
      <c r="L25" s="7" t="n">
        <v>7.4</v>
      </c>
      <c r="M25" s="7" t="n">
        <v>7.46</v>
      </c>
      <c r="N25" s="7" t="n">
        <v>1.1</v>
      </c>
      <c r="O25" s="8">
        <f>IF(G25&gt;0, (F25/G25)*100, 0)</f>
        <v/>
      </c>
      <c r="P25" s="8">
        <f>IF((G25+H25)&gt;0, (F25/(G25+H25))*100, 0)</f>
        <v/>
      </c>
      <c r="Q25" s="8">
        <f>IF(J25&gt;0, F25/J25, 0)</f>
        <v/>
      </c>
      <c r="R25" s="8">
        <f>MAX(0, MIN(35, IF((F25+E25)&lt;&gt;0, (E25/(F25+E25))*100, 0)))</f>
        <v/>
      </c>
      <c r="S25" s="8">
        <f>C25*(1-(R25/100))</f>
        <v/>
      </c>
      <c r="T25" s="8">
        <f>(G25+H25)-I25</f>
        <v/>
      </c>
      <c r="U25" s="8">
        <f>L25+(N25*M25)</f>
        <v/>
      </c>
      <c r="V25" s="8">
        <f>IF(H25&gt;0, (D25/H25)*(1-(R25/100))*100, 0)</f>
        <v/>
      </c>
      <c r="W25" s="8">
        <f>IF((K25+H25)&gt;0, ((K25/(K25+H25))*U25) + ((H25/(K25+H25))*V25), 0)</f>
        <v/>
      </c>
      <c r="X25" s="8">
        <f>S25-((W25/100)*T25)</f>
        <v/>
      </c>
    </row>
    <row r="26">
      <c r="A26" s="3" t="inlineStr">
        <is>
          <t>Larsen &amp; Toubro Ltd</t>
        </is>
      </c>
      <c r="B26" s="3" t="inlineStr">
        <is>
          <t>FY20</t>
        </is>
      </c>
      <c r="C26" s="4" t="n">
        <v>15000</v>
      </c>
      <c r="D26" s="4" t="n">
        <v>3800</v>
      </c>
      <c r="E26" s="4" t="n">
        <v>3400</v>
      </c>
      <c r="F26" s="4" t="n">
        <v>7800</v>
      </c>
      <c r="G26" s="4" t="n">
        <v>70000</v>
      </c>
      <c r="H26" s="4" t="n">
        <v>120000</v>
      </c>
      <c r="I26" s="4" t="n">
        <v>14000</v>
      </c>
      <c r="J26" s="4" t="n">
        <v>140</v>
      </c>
      <c r="K26" s="4" t="n">
        <v>155000</v>
      </c>
      <c r="L26" s="4" t="n">
        <v>6</v>
      </c>
      <c r="M26" s="4" t="n">
        <v>7.46</v>
      </c>
      <c r="N26" s="4" t="n">
        <v>1.1</v>
      </c>
      <c r="O26" s="5">
        <f>IF(G26&gt;0, (F26/G26)*100, 0)</f>
        <v/>
      </c>
      <c r="P26" s="5">
        <f>IF((G26+H26)&gt;0, (F26/(G26+H26))*100, 0)</f>
        <v/>
      </c>
      <c r="Q26" s="5">
        <f>IF(J26&gt;0, F26/J26, 0)</f>
        <v/>
      </c>
      <c r="R26" s="5">
        <f>MAX(0, MIN(35, IF((F26+E26)&lt;&gt;0, (E26/(F26+E26))*100, 0)))</f>
        <v/>
      </c>
      <c r="S26" s="5">
        <f>C26*(1-(R26/100))</f>
        <v/>
      </c>
      <c r="T26" s="5">
        <f>(G26+H26)-I26</f>
        <v/>
      </c>
      <c r="U26" s="5">
        <f>L26+(N26*M26)</f>
        <v/>
      </c>
      <c r="V26" s="5">
        <f>IF(H26&gt;0, (D26/H26)*(1-(R26/100))*100, 0)</f>
        <v/>
      </c>
      <c r="W26" s="5">
        <f>IF((K26+H26)&gt;0, ((K26/(K26+H26))*U26) + ((H26/(K26+H26))*V26), 0)</f>
        <v/>
      </c>
      <c r="X26" s="5">
        <f>S26-((W26/100)*T26)</f>
        <v/>
      </c>
    </row>
    <row r="27">
      <c r="A27" s="6" t="inlineStr">
        <is>
          <t>Larsen &amp; Toubro Ltd</t>
        </is>
      </c>
      <c r="B27" s="6" t="inlineStr">
        <is>
          <t>FY21</t>
        </is>
      </c>
      <c r="C27" s="7" t="n">
        <v>15000</v>
      </c>
      <c r="D27" s="7" t="n">
        <v>3900</v>
      </c>
      <c r="E27" s="7" t="n">
        <v>3500</v>
      </c>
      <c r="F27" s="7" t="n">
        <v>11500</v>
      </c>
      <c r="G27" s="7" t="n">
        <v>75000</v>
      </c>
      <c r="H27" s="7" t="n">
        <v>130000</v>
      </c>
      <c r="I27" s="7" t="n">
        <v>15000</v>
      </c>
      <c r="J27" s="7" t="n">
        <v>140</v>
      </c>
      <c r="K27" s="7" t="n">
        <v>180000</v>
      </c>
      <c r="L27" s="7" t="n">
        <v>5.5</v>
      </c>
      <c r="M27" s="7" t="n">
        <v>7.46</v>
      </c>
      <c r="N27" s="7" t="n">
        <v>1.1</v>
      </c>
      <c r="O27" s="8">
        <f>IF(G27&gt;0, (F27/G27)*100, 0)</f>
        <v/>
      </c>
      <c r="P27" s="8">
        <f>IF((G27+H27)&gt;0, (F27/(G27+H27))*100, 0)</f>
        <v/>
      </c>
      <c r="Q27" s="8">
        <f>IF(J27&gt;0, F27/J27, 0)</f>
        <v/>
      </c>
      <c r="R27" s="8">
        <f>MAX(0, MIN(35, IF((F27+E27)&lt;&gt;0, (E27/(F27+E27))*100, 0)))</f>
        <v/>
      </c>
      <c r="S27" s="8">
        <f>C27*(1-(R27/100))</f>
        <v/>
      </c>
      <c r="T27" s="8">
        <f>(G27+H27)-I27</f>
        <v/>
      </c>
      <c r="U27" s="8">
        <f>L27+(N27*M27)</f>
        <v/>
      </c>
      <c r="V27" s="8">
        <f>IF(H27&gt;0, (D27/H27)*(1-(R27/100))*100, 0)</f>
        <v/>
      </c>
      <c r="W27" s="8">
        <f>IF((K27+H27)&gt;0, ((K27/(K27+H27))*U27) + ((H27/(K27+H27))*V27), 0)</f>
        <v/>
      </c>
      <c r="X27" s="8">
        <f>S27-((W27/100)*T27)</f>
        <v/>
      </c>
    </row>
    <row r="28">
      <c r="A28" s="3" t="inlineStr">
        <is>
          <t>Larsen &amp; Toubro Ltd</t>
        </is>
      </c>
      <c r="B28" s="3" t="inlineStr">
        <is>
          <t>FY22</t>
        </is>
      </c>
      <c r="C28" s="4" t="n">
        <v>16000</v>
      </c>
      <c r="D28" s="4" t="n">
        <v>3100</v>
      </c>
      <c r="E28" s="4" t="n">
        <v>4000</v>
      </c>
      <c r="F28" s="4" t="n">
        <v>8500</v>
      </c>
      <c r="G28" s="4" t="n">
        <v>82000</v>
      </c>
      <c r="H28" s="4" t="n">
        <v>125000</v>
      </c>
      <c r="I28" s="4" t="n">
        <v>16000</v>
      </c>
      <c r="J28" s="4" t="n">
        <v>140</v>
      </c>
      <c r="K28" s="4" t="n">
        <v>240000</v>
      </c>
      <c r="L28" s="4" t="n">
        <v>6</v>
      </c>
      <c r="M28" s="4" t="n">
        <v>7.46</v>
      </c>
      <c r="N28" s="4" t="n">
        <v>1.1</v>
      </c>
      <c r="O28" s="5">
        <f>IF(G28&gt;0, (F28/G28)*100, 0)</f>
        <v/>
      </c>
      <c r="P28" s="5">
        <f>IF((G28+H28)&gt;0, (F28/(G28+H28))*100, 0)</f>
        <v/>
      </c>
      <c r="Q28" s="5">
        <f>IF(J28&gt;0, F28/J28, 0)</f>
        <v/>
      </c>
      <c r="R28" s="5">
        <f>MAX(0, MIN(35, IF((F28+E28)&lt;&gt;0, (E28/(F28+E28))*100, 0)))</f>
        <v/>
      </c>
      <c r="S28" s="5">
        <f>C28*(1-(R28/100))</f>
        <v/>
      </c>
      <c r="T28" s="5">
        <f>(G28+H28)-I28</f>
        <v/>
      </c>
      <c r="U28" s="5">
        <f>L28+(N28*M28)</f>
        <v/>
      </c>
      <c r="V28" s="5">
        <f>IF(H28&gt;0, (D28/H28)*(1-(R28/100))*100, 0)</f>
        <v/>
      </c>
      <c r="W28" s="5">
        <f>IF((K28+H28)&gt;0, ((K28/(K28+H28))*U28) + ((H28/(K28+H28))*V28), 0)</f>
        <v/>
      </c>
      <c r="X28" s="5">
        <f>S28-((W28/100)*T28)</f>
        <v/>
      </c>
    </row>
    <row r="29">
      <c r="A29" s="6" t="inlineStr">
        <is>
          <t>Larsen &amp; Toubro Ltd</t>
        </is>
      </c>
      <c r="B29" s="6" t="inlineStr">
        <is>
          <t>FY23</t>
        </is>
      </c>
      <c r="C29" s="7" t="n">
        <v>18000</v>
      </c>
      <c r="D29" s="7" t="n">
        <v>3200</v>
      </c>
      <c r="E29" s="7" t="n">
        <v>4500</v>
      </c>
      <c r="F29" s="7" t="n">
        <v>10500</v>
      </c>
      <c r="G29" s="7" t="n">
        <v>89000</v>
      </c>
      <c r="H29" s="7" t="n">
        <v>118000</v>
      </c>
      <c r="I29" s="7" t="n">
        <v>18000</v>
      </c>
      <c r="J29" s="7" t="n">
        <v>140</v>
      </c>
      <c r="K29" s="7" t="n">
        <v>300000</v>
      </c>
      <c r="L29" s="7" t="n">
        <v>6.5</v>
      </c>
      <c r="M29" s="7" t="n">
        <v>7.46</v>
      </c>
      <c r="N29" s="7" t="n">
        <v>1.1</v>
      </c>
      <c r="O29" s="8">
        <f>IF(G29&gt;0, (F29/G29)*100, 0)</f>
        <v/>
      </c>
      <c r="P29" s="8">
        <f>IF((G29+H29)&gt;0, (F29/(G29+H29))*100, 0)</f>
        <v/>
      </c>
      <c r="Q29" s="8">
        <f>IF(J29&gt;0, F29/J29, 0)</f>
        <v/>
      </c>
      <c r="R29" s="8">
        <f>MAX(0, MIN(35, IF((F29+E29)&lt;&gt;0, (E29/(F29+E29))*100, 0)))</f>
        <v/>
      </c>
      <c r="S29" s="8">
        <f>C29*(1-(R29/100))</f>
        <v/>
      </c>
      <c r="T29" s="8">
        <f>(G29+H29)-I29</f>
        <v/>
      </c>
      <c r="U29" s="8">
        <f>L29+(N29*M29)</f>
        <v/>
      </c>
      <c r="V29" s="8">
        <f>IF(H29&gt;0, (D29/H29)*(1-(R29/100))*100, 0)</f>
        <v/>
      </c>
      <c r="W29" s="8">
        <f>IF((K29+H29)&gt;0, ((K29/(K29+H29))*U29) + ((H29/(K29+H29))*V29), 0)</f>
        <v/>
      </c>
      <c r="X29" s="8">
        <f>S29-((W29/100)*T29)</f>
        <v/>
      </c>
    </row>
    <row r="30">
      <c r="A30" s="3" t="inlineStr">
        <is>
          <t>Larsen &amp; Toubro Ltd</t>
        </is>
      </c>
      <c r="B30" s="3" t="inlineStr">
        <is>
          <t>FY24</t>
        </is>
      </c>
      <c r="C30" s="4" t="n">
        <v>22000</v>
      </c>
      <c r="D30" s="4" t="n">
        <v>3500</v>
      </c>
      <c r="E30" s="4" t="n">
        <v>5441</v>
      </c>
      <c r="F30" s="4" t="n">
        <v>13059</v>
      </c>
      <c r="G30" s="4" t="n">
        <v>95000</v>
      </c>
      <c r="H30" s="4" t="n">
        <v>115000</v>
      </c>
      <c r="I30" s="4" t="n">
        <v>19000</v>
      </c>
      <c r="J30" s="4" t="n">
        <v>140</v>
      </c>
      <c r="K30" s="4" t="n">
        <v>400000</v>
      </c>
      <c r="L30" s="4" t="n">
        <v>7</v>
      </c>
      <c r="M30" s="4" t="n">
        <v>7.46</v>
      </c>
      <c r="N30" s="4" t="n">
        <v>1.1</v>
      </c>
      <c r="O30" s="5">
        <f>IF(G30&gt;0, (F30/G30)*100, 0)</f>
        <v/>
      </c>
      <c r="P30" s="5">
        <f>IF((G30+H30)&gt;0, (F30/(G30+H30))*100, 0)</f>
        <v/>
      </c>
      <c r="Q30" s="5">
        <f>IF(J30&gt;0, F30/J30, 0)</f>
        <v/>
      </c>
      <c r="R30" s="5">
        <f>MAX(0, MIN(35, IF((F30+E30)&lt;&gt;0, (E30/(F30+E30))*100, 0)))</f>
        <v/>
      </c>
      <c r="S30" s="5">
        <f>C30*(1-(R30/100))</f>
        <v/>
      </c>
      <c r="T30" s="5">
        <f>(G30+H30)-I30</f>
        <v/>
      </c>
      <c r="U30" s="5">
        <f>L30+(N30*M30)</f>
        <v/>
      </c>
      <c r="V30" s="5">
        <f>IF(H30&gt;0, (D30/H30)*(1-(R30/100))*100, 0)</f>
        <v/>
      </c>
      <c r="W30" s="5">
        <f>IF((K30+H30)&gt;0, ((K30/(K30+H30))*U30) + ((H30/(K30+H30))*V30), 0)</f>
        <v/>
      </c>
      <c r="X30" s="5">
        <f>S30-((W30/100)*T30)</f>
        <v/>
      </c>
    </row>
    <row r="31">
      <c r="A31" s="6" t="inlineStr">
        <is>
          <t>Larsen &amp; Toubro Ltd</t>
        </is>
      </c>
      <c r="B31" s="6" t="inlineStr">
        <is>
          <t>FY25</t>
        </is>
      </c>
      <c r="C31" s="7" t="n">
        <v>11674</v>
      </c>
      <c r="D31" s="7" t="n">
        <v>2282</v>
      </c>
      <c r="E31" s="7" t="n">
        <v>3000</v>
      </c>
      <c r="F31" s="7" t="n">
        <v>10870</v>
      </c>
      <c r="G31" s="7" t="n">
        <v>90000</v>
      </c>
      <c r="H31" s="7" t="n">
        <v>110000</v>
      </c>
      <c r="I31" s="7" t="n">
        <v>20000</v>
      </c>
      <c r="J31" s="7" t="n">
        <v>140</v>
      </c>
      <c r="K31" s="7" t="n">
        <v>500000</v>
      </c>
      <c r="L31" s="7" t="n">
        <v>6.67</v>
      </c>
      <c r="M31" s="7" t="n">
        <v>7.46</v>
      </c>
      <c r="N31" s="7" t="n">
        <v>1.1</v>
      </c>
      <c r="O31" s="8">
        <f>IF(G31&gt;0, (F31/G31)*100, 0)</f>
        <v/>
      </c>
      <c r="P31" s="8">
        <f>IF((G31+H31)&gt;0, (F31/(G31+H31))*100, 0)</f>
        <v/>
      </c>
      <c r="Q31" s="8">
        <f>IF(J31&gt;0, F31/J31, 0)</f>
        <v/>
      </c>
      <c r="R31" s="8">
        <f>MAX(0, MIN(35, IF((F31+E31)&lt;&gt;0, (E31/(F31+E31))*100, 0)))</f>
        <v/>
      </c>
      <c r="S31" s="8">
        <f>C31*(1-(R31/100))</f>
        <v/>
      </c>
      <c r="T31" s="8">
        <f>(G31+H31)-I31</f>
        <v/>
      </c>
      <c r="U31" s="8">
        <f>L31+(N31*M31)</f>
        <v/>
      </c>
      <c r="V31" s="8">
        <f>IF(H31&gt;0, (D31/H31)*(1-(R31/100))*100, 0)</f>
        <v/>
      </c>
      <c r="W31" s="8">
        <f>IF((K31+H31)&gt;0, ((K31/(K31+H31))*U31) + ((H31/(K31+H31))*V31), 0)</f>
        <v/>
      </c>
      <c r="X31" s="8">
        <f>S31-((W31/100)*T31)</f>
        <v/>
      </c>
    </row>
    <row r="32">
      <c r="A32" s="3" t="inlineStr">
        <is>
          <t>Bharat Forge Ltd</t>
        </is>
      </c>
      <c r="B32" s="3" t="inlineStr">
        <is>
          <t>FY16</t>
        </is>
      </c>
      <c r="C32" s="4" t="n">
        <v>1000</v>
      </c>
      <c r="D32" s="4" t="n">
        <v>150</v>
      </c>
      <c r="E32" s="4" t="n">
        <v>250</v>
      </c>
      <c r="F32" s="4" t="n">
        <v>600</v>
      </c>
      <c r="G32" s="4" t="n">
        <v>3500</v>
      </c>
      <c r="H32" s="4" t="n">
        <v>2000</v>
      </c>
      <c r="I32" s="4" t="n">
        <v>300</v>
      </c>
      <c r="J32" s="4" t="n">
        <v>46.5</v>
      </c>
      <c r="K32" s="4" t="n">
        <v>15000</v>
      </c>
      <c r="L32" s="4" t="n">
        <v>7.5</v>
      </c>
      <c r="M32" s="4" t="n">
        <v>7.46</v>
      </c>
      <c r="N32" s="4" t="n">
        <v>1.15</v>
      </c>
      <c r="O32" s="5">
        <f>IF(G32&gt;0, (F32/G32)*100, 0)</f>
        <v/>
      </c>
      <c r="P32" s="5">
        <f>IF((G32+H32)&gt;0, (F32/(G32+H32))*100, 0)</f>
        <v/>
      </c>
      <c r="Q32" s="5">
        <f>IF(J32&gt;0, F32/J32, 0)</f>
        <v/>
      </c>
      <c r="R32" s="5">
        <f>MAX(0, MIN(35, IF((F32+E32)&lt;&gt;0, (E32/(F32+E32))*100, 0)))</f>
        <v/>
      </c>
      <c r="S32" s="5">
        <f>C32*(1-(R32/100))</f>
        <v/>
      </c>
      <c r="T32" s="5">
        <f>(G32+H32)-I32</f>
        <v/>
      </c>
      <c r="U32" s="5">
        <f>L32+(N32*M32)</f>
        <v/>
      </c>
      <c r="V32" s="5">
        <f>IF(H32&gt;0, (D32/H32)*(1-(R32/100))*100, 0)</f>
        <v/>
      </c>
      <c r="W32" s="5">
        <f>IF((K32+H32)&gt;0, ((K32/(K32+H32))*U32) + ((H32/(K32+H32))*V32), 0)</f>
        <v/>
      </c>
      <c r="X32" s="5">
        <f>S32-((W32/100)*T32)</f>
        <v/>
      </c>
    </row>
    <row r="33">
      <c r="A33" s="6" t="inlineStr">
        <is>
          <t>Bharat Forge Ltd</t>
        </is>
      </c>
      <c r="B33" s="6" t="inlineStr">
        <is>
          <t>FY17</t>
        </is>
      </c>
      <c r="C33" s="7" t="n">
        <v>1100</v>
      </c>
      <c r="D33" s="7" t="n">
        <v>160</v>
      </c>
      <c r="E33" s="7" t="n">
        <v>280</v>
      </c>
      <c r="F33" s="7" t="n">
        <v>660</v>
      </c>
      <c r="G33" s="7" t="n">
        <v>4000</v>
      </c>
      <c r="H33" s="7" t="n">
        <v>2200</v>
      </c>
      <c r="I33" s="7" t="n">
        <v>350</v>
      </c>
      <c r="J33" s="7" t="n">
        <v>46.5</v>
      </c>
      <c r="K33" s="7" t="n">
        <v>18000</v>
      </c>
      <c r="L33" s="7" t="n">
        <v>7</v>
      </c>
      <c r="M33" s="7" t="n">
        <v>7.46</v>
      </c>
      <c r="N33" s="7" t="n">
        <v>1.15</v>
      </c>
      <c r="O33" s="8">
        <f>IF(G33&gt;0, (F33/G33)*100, 0)</f>
        <v/>
      </c>
      <c r="P33" s="8">
        <f>IF((G33+H33)&gt;0, (F33/(G33+H33))*100, 0)</f>
        <v/>
      </c>
      <c r="Q33" s="8">
        <f>IF(J33&gt;0, F33/J33, 0)</f>
        <v/>
      </c>
      <c r="R33" s="8">
        <f>MAX(0, MIN(35, IF((F33+E33)&lt;&gt;0, (E33/(F33+E33))*100, 0)))</f>
        <v/>
      </c>
      <c r="S33" s="8">
        <f>C33*(1-(R33/100))</f>
        <v/>
      </c>
      <c r="T33" s="8">
        <f>(G33+H33)-I33</f>
        <v/>
      </c>
      <c r="U33" s="8">
        <f>L33+(N33*M33)</f>
        <v/>
      </c>
      <c r="V33" s="8">
        <f>IF(H33&gt;0, (D33/H33)*(1-(R33/100))*100, 0)</f>
        <v/>
      </c>
      <c r="W33" s="8">
        <f>IF((K33+H33)&gt;0, ((K33/(K33+H33))*U33) + ((H33/(K33+H33))*V33), 0)</f>
        <v/>
      </c>
      <c r="X33" s="8">
        <f>S33-((W33/100)*T33)</f>
        <v/>
      </c>
    </row>
    <row r="34">
      <c r="A34" s="3" t="inlineStr">
        <is>
          <t>Bharat Forge Ltd</t>
        </is>
      </c>
      <c r="B34" s="3" t="inlineStr">
        <is>
          <t>FY18</t>
        </is>
      </c>
      <c r="C34" s="4" t="n">
        <v>1300</v>
      </c>
      <c r="D34" s="4" t="n">
        <v>170</v>
      </c>
      <c r="E34" s="4" t="n">
        <v>330</v>
      </c>
      <c r="F34" s="4" t="n">
        <v>800</v>
      </c>
      <c r="G34" s="4" t="n">
        <v>4500</v>
      </c>
      <c r="H34" s="4" t="n">
        <v>2500</v>
      </c>
      <c r="I34" s="4" t="n">
        <v>400</v>
      </c>
      <c r="J34" s="4" t="n">
        <v>46.5</v>
      </c>
      <c r="K34" s="4" t="n">
        <v>22000</v>
      </c>
      <c r="L34" s="4" t="n">
        <v>7.2</v>
      </c>
      <c r="M34" s="4" t="n">
        <v>7.46</v>
      </c>
      <c r="N34" s="4" t="n">
        <v>1.15</v>
      </c>
      <c r="O34" s="5">
        <f>IF(G34&gt;0, (F34/G34)*100, 0)</f>
        <v/>
      </c>
      <c r="P34" s="5">
        <f>IF((G34+H34)&gt;0, (F34/(G34+H34))*100, 0)</f>
        <v/>
      </c>
      <c r="Q34" s="5">
        <f>IF(J34&gt;0, F34/J34, 0)</f>
        <v/>
      </c>
      <c r="R34" s="5">
        <f>MAX(0, MIN(35, IF((F34+E34)&lt;&gt;0, (E34/(F34+E34))*100, 0)))</f>
        <v/>
      </c>
      <c r="S34" s="5">
        <f>C34*(1-(R34/100))</f>
        <v/>
      </c>
      <c r="T34" s="5">
        <f>(G34+H34)-I34</f>
        <v/>
      </c>
      <c r="U34" s="5">
        <f>L34+(N34*M34)</f>
        <v/>
      </c>
      <c r="V34" s="5">
        <f>IF(H34&gt;0, (D34/H34)*(1-(R34/100))*100, 0)</f>
        <v/>
      </c>
      <c r="W34" s="5">
        <f>IF((K34+H34)&gt;0, ((K34/(K34+H34))*U34) + ((H34/(K34+H34))*V34), 0)</f>
        <v/>
      </c>
      <c r="X34" s="5">
        <f>S34-((W34/100)*T34)</f>
        <v/>
      </c>
    </row>
    <row r="35">
      <c r="A35" s="6" t="inlineStr">
        <is>
          <t>Bharat Forge Ltd</t>
        </is>
      </c>
      <c r="B35" s="6" t="inlineStr">
        <is>
          <t>FY19</t>
        </is>
      </c>
      <c r="C35" s="7" t="n">
        <v>1400</v>
      </c>
      <c r="D35" s="7" t="n">
        <v>180</v>
      </c>
      <c r="E35" s="7" t="n">
        <v>350</v>
      </c>
      <c r="F35" s="7" t="n">
        <v>870</v>
      </c>
      <c r="G35" s="7" t="n">
        <v>5000</v>
      </c>
      <c r="H35" s="7" t="n">
        <v>2800</v>
      </c>
      <c r="I35" s="7" t="n">
        <v>450</v>
      </c>
      <c r="J35" s="7" t="n">
        <v>46.5</v>
      </c>
      <c r="K35" s="7" t="n">
        <v>24000</v>
      </c>
      <c r="L35" s="7" t="n">
        <v>7.4</v>
      </c>
      <c r="M35" s="7" t="n">
        <v>7.46</v>
      </c>
      <c r="N35" s="7" t="n">
        <v>1.15</v>
      </c>
      <c r="O35" s="8">
        <f>IF(G35&gt;0, (F35/G35)*100, 0)</f>
        <v/>
      </c>
      <c r="P35" s="8">
        <f>IF((G35+H35)&gt;0, (F35/(G35+H35))*100, 0)</f>
        <v/>
      </c>
      <c r="Q35" s="8">
        <f>IF(J35&gt;0, F35/J35, 0)</f>
        <v/>
      </c>
      <c r="R35" s="8">
        <f>MAX(0, MIN(35, IF((F35+E35)&lt;&gt;0, (E35/(F35+E35))*100, 0)))</f>
        <v/>
      </c>
      <c r="S35" s="8">
        <f>C35*(1-(R35/100))</f>
        <v/>
      </c>
      <c r="T35" s="8">
        <f>(G35+H35)-I35</f>
        <v/>
      </c>
      <c r="U35" s="8">
        <f>L35+(N35*M35)</f>
        <v/>
      </c>
      <c r="V35" s="8">
        <f>IF(H35&gt;0, (D35/H35)*(1-(R35/100))*100, 0)</f>
        <v/>
      </c>
      <c r="W35" s="8">
        <f>IF((K35+H35)&gt;0, ((K35/(K35+H35))*U35) + ((H35/(K35+H35))*V35), 0)</f>
        <v/>
      </c>
      <c r="X35" s="8">
        <f>S35-((W35/100)*T35)</f>
        <v/>
      </c>
    </row>
    <row r="36">
      <c r="A36" s="3" t="inlineStr">
        <is>
          <t>Bharat Forge Ltd</t>
        </is>
      </c>
      <c r="B36" s="3" t="inlineStr">
        <is>
          <t>FY20</t>
        </is>
      </c>
      <c r="C36" s="4" t="n">
        <v>800</v>
      </c>
      <c r="D36" s="4" t="n">
        <v>190</v>
      </c>
      <c r="E36" s="4" t="n">
        <v>150</v>
      </c>
      <c r="F36" s="4" t="n">
        <v>460</v>
      </c>
      <c r="G36" s="4" t="n">
        <v>5200</v>
      </c>
      <c r="H36" s="4" t="n">
        <v>3200</v>
      </c>
      <c r="I36" s="4" t="n">
        <v>480</v>
      </c>
      <c r="J36" s="4" t="n">
        <v>46.5</v>
      </c>
      <c r="K36" s="4" t="n">
        <v>20000</v>
      </c>
      <c r="L36" s="4" t="n">
        <v>6</v>
      </c>
      <c r="M36" s="4" t="n">
        <v>7.46</v>
      </c>
      <c r="N36" s="4" t="n">
        <v>1.15</v>
      </c>
      <c r="O36" s="5">
        <f>IF(G36&gt;0, (F36/G36)*100, 0)</f>
        <v/>
      </c>
      <c r="P36" s="5">
        <f>IF((G36+H36)&gt;0, (F36/(G36+H36))*100, 0)</f>
        <v/>
      </c>
      <c r="Q36" s="5">
        <f>IF(J36&gt;0, F36/J36, 0)</f>
        <v/>
      </c>
      <c r="R36" s="5">
        <f>MAX(0, MIN(35, IF((F36+E36)&lt;&gt;0, (E36/(F36+E36))*100, 0)))</f>
        <v/>
      </c>
      <c r="S36" s="5">
        <f>C36*(1-(R36/100))</f>
        <v/>
      </c>
      <c r="T36" s="5">
        <f>(G36+H36)-I36</f>
        <v/>
      </c>
      <c r="U36" s="5">
        <f>L36+(N36*M36)</f>
        <v/>
      </c>
      <c r="V36" s="5">
        <f>IF(H36&gt;0, (D36/H36)*(1-(R36/100))*100, 0)</f>
        <v/>
      </c>
      <c r="W36" s="5">
        <f>IF((K36+H36)&gt;0, ((K36/(K36+H36))*U36) + ((H36/(K36+H36))*V36), 0)</f>
        <v/>
      </c>
      <c r="X36" s="5">
        <f>S36-((W36/100)*T36)</f>
        <v/>
      </c>
    </row>
    <row r="37">
      <c r="A37" s="6" t="inlineStr">
        <is>
          <t>Bharat Forge Ltd</t>
        </is>
      </c>
      <c r="B37" s="6" t="inlineStr">
        <is>
          <t>FY21</t>
        </is>
      </c>
      <c r="C37" s="7" t="n">
        <v>500</v>
      </c>
      <c r="D37" s="7" t="n">
        <v>200</v>
      </c>
      <c r="E37" s="7" t="n">
        <v>50</v>
      </c>
      <c r="F37" s="7" t="n">
        <v>-100</v>
      </c>
      <c r="G37" s="7" t="n">
        <v>5500</v>
      </c>
      <c r="H37" s="7" t="n">
        <v>3500</v>
      </c>
      <c r="I37" s="7" t="n">
        <v>500</v>
      </c>
      <c r="J37" s="7" t="n">
        <v>46.5</v>
      </c>
      <c r="K37" s="7" t="n">
        <v>28000</v>
      </c>
      <c r="L37" s="7" t="n">
        <v>5.5</v>
      </c>
      <c r="M37" s="7" t="n">
        <v>7.46</v>
      </c>
      <c r="N37" s="7" t="n">
        <v>1.15</v>
      </c>
      <c r="O37" s="8">
        <f>IF(G37&gt;0, (F37/G37)*100, 0)</f>
        <v/>
      </c>
      <c r="P37" s="8">
        <f>IF((G37+H37)&gt;0, (F37/(G37+H37))*100, 0)</f>
        <v/>
      </c>
      <c r="Q37" s="8">
        <f>IF(J37&gt;0, F37/J37, 0)</f>
        <v/>
      </c>
      <c r="R37" s="8">
        <f>MAX(0, MIN(35, IF((F37+E37)&lt;&gt;0, (E37/(F37+E37))*100, 0)))</f>
        <v/>
      </c>
      <c r="S37" s="8">
        <f>C37*(1-(R37/100))</f>
        <v/>
      </c>
      <c r="T37" s="8">
        <f>(G37+H37)-I37</f>
        <v/>
      </c>
      <c r="U37" s="8">
        <f>L37+(N37*M37)</f>
        <v/>
      </c>
      <c r="V37" s="8">
        <f>IF(H37&gt;0, (D37/H37)*(1-(R37/100))*100, 0)</f>
        <v/>
      </c>
      <c r="W37" s="8">
        <f>IF((K37+H37)&gt;0, ((K37/(K37+H37))*U37) + ((H37/(K37+H37))*V37), 0)</f>
        <v/>
      </c>
      <c r="X37" s="8">
        <f>S37-((W37/100)*T37)</f>
        <v/>
      </c>
    </row>
    <row r="38">
      <c r="A38" s="3" t="inlineStr">
        <is>
          <t>Bharat Forge Ltd</t>
        </is>
      </c>
      <c r="B38" s="3" t="inlineStr">
        <is>
          <t>FY22</t>
        </is>
      </c>
      <c r="C38" s="4" t="n">
        <v>1500</v>
      </c>
      <c r="D38" s="4" t="n">
        <v>220</v>
      </c>
      <c r="E38" s="4" t="n">
        <v>300</v>
      </c>
      <c r="F38" s="4" t="n">
        <v>1000</v>
      </c>
      <c r="G38" s="4" t="n">
        <v>6500</v>
      </c>
      <c r="H38" s="4" t="n">
        <v>3800</v>
      </c>
      <c r="I38" s="4" t="n">
        <v>600</v>
      </c>
      <c r="J38" s="4" t="n">
        <v>46.5</v>
      </c>
      <c r="K38" s="4" t="n">
        <v>35000</v>
      </c>
      <c r="L38" s="4" t="n">
        <v>6</v>
      </c>
      <c r="M38" s="4" t="n">
        <v>7.46</v>
      </c>
      <c r="N38" s="4" t="n">
        <v>1.15</v>
      </c>
      <c r="O38" s="5">
        <f>IF(G38&gt;0, (F38/G38)*100, 0)</f>
        <v/>
      </c>
      <c r="P38" s="5">
        <f>IF((G38+H38)&gt;0, (F38/(G38+H38))*100, 0)</f>
        <v/>
      </c>
      <c r="Q38" s="5">
        <f>IF(J38&gt;0, F38/J38, 0)</f>
        <v/>
      </c>
      <c r="R38" s="5">
        <f>MAX(0, MIN(35, IF((F38+E38)&lt;&gt;0, (E38/(F38+E38))*100, 0)))</f>
        <v/>
      </c>
      <c r="S38" s="5">
        <f>C38*(1-(R38/100))</f>
        <v/>
      </c>
      <c r="T38" s="5">
        <f>(G38+H38)-I38</f>
        <v/>
      </c>
      <c r="U38" s="5">
        <f>L38+(N38*M38)</f>
        <v/>
      </c>
      <c r="V38" s="5">
        <f>IF(H38&gt;0, (D38/H38)*(1-(R38/100))*100, 0)</f>
        <v/>
      </c>
      <c r="W38" s="5">
        <f>IF((K38+H38)&gt;0, ((K38/(K38+H38))*U38) + ((H38/(K38+H38))*V38), 0)</f>
        <v/>
      </c>
      <c r="X38" s="5">
        <f>S38-((W38/100)*T38)</f>
        <v/>
      </c>
    </row>
    <row r="39">
      <c r="A39" s="6" t="inlineStr">
        <is>
          <t>Bharat Forge Ltd</t>
        </is>
      </c>
      <c r="B39" s="6" t="inlineStr">
        <is>
          <t>FY23</t>
        </is>
      </c>
      <c r="C39" s="7" t="n">
        <v>1800</v>
      </c>
      <c r="D39" s="7" t="n">
        <v>240</v>
      </c>
      <c r="E39" s="7" t="n">
        <v>400</v>
      </c>
      <c r="F39" s="7" t="n">
        <v>1100</v>
      </c>
      <c r="G39" s="7" t="n">
        <v>8000</v>
      </c>
      <c r="H39" s="7" t="n">
        <v>4000</v>
      </c>
      <c r="I39" s="7" t="n">
        <v>700</v>
      </c>
      <c r="J39" s="7" t="n">
        <v>46.5</v>
      </c>
      <c r="K39" s="7" t="n">
        <v>40000</v>
      </c>
      <c r="L39" s="7" t="n">
        <v>6.5</v>
      </c>
      <c r="M39" s="7" t="n">
        <v>7.46</v>
      </c>
      <c r="N39" s="7" t="n">
        <v>1.15</v>
      </c>
      <c r="O39" s="8">
        <f>IF(G39&gt;0, (F39/G39)*100, 0)</f>
        <v/>
      </c>
      <c r="P39" s="8">
        <f>IF((G39+H39)&gt;0, (F39/(G39+H39))*100, 0)</f>
        <v/>
      </c>
      <c r="Q39" s="8">
        <f>IF(J39&gt;0, F39/J39, 0)</f>
        <v/>
      </c>
      <c r="R39" s="8">
        <f>MAX(0, MIN(35, IF((F39+E39)&lt;&gt;0, (E39/(F39+E39))*100, 0)))</f>
        <v/>
      </c>
      <c r="S39" s="8">
        <f>C39*(1-(R39/100))</f>
        <v/>
      </c>
      <c r="T39" s="8">
        <f>(G39+H39)-I39</f>
        <v/>
      </c>
      <c r="U39" s="8">
        <f>L39+(N39*M39)</f>
        <v/>
      </c>
      <c r="V39" s="8">
        <f>IF(H39&gt;0, (D39/H39)*(1-(R39/100))*100, 0)</f>
        <v/>
      </c>
      <c r="W39" s="8">
        <f>IF((K39+H39)&gt;0, ((K39/(K39+H39))*U39) + ((H39/(K39+H39))*V39), 0)</f>
        <v/>
      </c>
      <c r="X39" s="8">
        <f>S39-((W39/100)*T39)</f>
        <v/>
      </c>
    </row>
    <row r="40">
      <c r="A40" s="3" t="inlineStr">
        <is>
          <t>Bharat Forge Ltd</t>
        </is>
      </c>
      <c r="B40" s="3" t="inlineStr">
        <is>
          <t>FY24</t>
        </is>
      </c>
      <c r="C40" s="4" t="n">
        <v>2100</v>
      </c>
      <c r="D40" s="4" t="n">
        <v>250</v>
      </c>
      <c r="E40" s="4" t="n">
        <v>450</v>
      </c>
      <c r="F40" s="4" t="n">
        <v>1200</v>
      </c>
      <c r="G40" s="4" t="n">
        <v>9500</v>
      </c>
      <c r="H40" s="4" t="n">
        <v>4100</v>
      </c>
      <c r="I40" s="4" t="n">
        <v>800</v>
      </c>
      <c r="J40" s="4" t="n">
        <v>46.5</v>
      </c>
      <c r="K40" s="4" t="n">
        <v>50000</v>
      </c>
      <c r="L40" s="4" t="n">
        <v>7</v>
      </c>
      <c r="M40" s="4" t="n">
        <v>7.46</v>
      </c>
      <c r="N40" s="4" t="n">
        <v>1.15</v>
      </c>
      <c r="O40" s="5">
        <f>IF(G40&gt;0, (F40/G40)*100, 0)</f>
        <v/>
      </c>
      <c r="P40" s="5">
        <f>IF((G40+H40)&gt;0, (F40/(G40+H40))*100, 0)</f>
        <v/>
      </c>
      <c r="Q40" s="5">
        <f>IF(J40&gt;0, F40/J40, 0)</f>
        <v/>
      </c>
      <c r="R40" s="5">
        <f>MAX(0, MIN(35, IF((F40+E40)&lt;&gt;0, (E40/(F40+E40))*100, 0)))</f>
        <v/>
      </c>
      <c r="S40" s="5">
        <f>C40*(1-(R40/100))</f>
        <v/>
      </c>
      <c r="T40" s="5">
        <f>(G40+H40)-I40</f>
        <v/>
      </c>
      <c r="U40" s="5">
        <f>L40+(N40*M40)</f>
        <v/>
      </c>
      <c r="V40" s="5">
        <f>IF(H40&gt;0, (D40/H40)*(1-(R40/100))*100, 0)</f>
        <v/>
      </c>
      <c r="W40" s="5">
        <f>IF((K40+H40)&gt;0, ((K40/(K40+H40))*U40) + ((H40/(K40+H40))*V40), 0)</f>
        <v/>
      </c>
      <c r="X40" s="5">
        <f>S40-((W40/100)*T40)</f>
        <v/>
      </c>
    </row>
    <row r="41">
      <c r="A41" s="6" t="inlineStr">
        <is>
          <t>Bharat Forge Ltd</t>
        </is>
      </c>
      <c r="B41" s="6" t="inlineStr">
        <is>
          <t>FY25</t>
        </is>
      </c>
      <c r="C41" s="7" t="n">
        <v>2336</v>
      </c>
      <c r="D41" s="7" t="n">
        <v>250</v>
      </c>
      <c r="E41" s="7" t="n">
        <v>400</v>
      </c>
      <c r="F41" s="7" t="n">
        <v>1322</v>
      </c>
      <c r="G41" s="7" t="n">
        <v>10962</v>
      </c>
      <c r="H41" s="7" t="n">
        <v>4295</v>
      </c>
      <c r="I41" s="7" t="n">
        <v>928</v>
      </c>
      <c r="J41" s="7" t="n">
        <v>46.5</v>
      </c>
      <c r="K41" s="7" t="n">
        <v>100174</v>
      </c>
      <c r="L41" s="7" t="n">
        <v>6.67</v>
      </c>
      <c r="M41" s="7" t="n">
        <v>7.46</v>
      </c>
      <c r="N41" s="7" t="n">
        <v>1.15</v>
      </c>
      <c r="O41" s="8">
        <f>IF(G41&gt;0, (F41/G41)*100, 0)</f>
        <v/>
      </c>
      <c r="P41" s="8">
        <f>IF((G41+H41)&gt;0, (F41/(G41+H41))*100, 0)</f>
        <v/>
      </c>
      <c r="Q41" s="8">
        <f>IF(J41&gt;0, F41/J41, 0)</f>
        <v/>
      </c>
      <c r="R41" s="8">
        <f>MAX(0, MIN(35, IF((F41+E41)&lt;&gt;0, (E41/(F41+E41))*100, 0)))</f>
        <v/>
      </c>
      <c r="S41" s="8">
        <f>C41*(1-(R41/100))</f>
        <v/>
      </c>
      <c r="T41" s="8">
        <f>(G41+H41)-I41</f>
        <v/>
      </c>
      <c r="U41" s="8">
        <f>L41+(N41*M41)</f>
        <v/>
      </c>
      <c r="V41" s="8">
        <f>IF(H41&gt;0, (D41/H41)*(1-(R41/100))*100, 0)</f>
        <v/>
      </c>
      <c r="W41" s="8">
        <f>IF((K41+H41)&gt;0, ((K41/(K41+H41))*U41) + ((H41/(K41+H41))*V41), 0)</f>
        <v/>
      </c>
      <c r="X41" s="8">
        <f>S41-((W41/100)*T41)</f>
        <v/>
      </c>
    </row>
    <row r="42">
      <c r="A42" s="3" t="inlineStr">
        <is>
          <t>Coal India Ltd</t>
        </is>
      </c>
      <c r="B42" s="3" t="inlineStr">
        <is>
          <t>FY16</t>
        </is>
      </c>
      <c r="C42" s="4" t="n">
        <v>15000</v>
      </c>
      <c r="D42" s="4" t="n">
        <v>100</v>
      </c>
      <c r="E42" s="4" t="n">
        <v>4000</v>
      </c>
      <c r="F42" s="4" t="n">
        <v>10900</v>
      </c>
      <c r="G42" s="4" t="n">
        <v>25000</v>
      </c>
      <c r="H42" s="4" t="n">
        <v>1500</v>
      </c>
      <c r="I42" s="4" t="n">
        <v>10000</v>
      </c>
      <c r="J42" s="4" t="n">
        <v>616</v>
      </c>
      <c r="K42" s="4" t="n">
        <v>150000</v>
      </c>
      <c r="L42" s="4" t="n">
        <v>7.5</v>
      </c>
      <c r="M42" s="4" t="n">
        <v>7.46</v>
      </c>
      <c r="N42" s="4" t="n">
        <v>1.05</v>
      </c>
      <c r="O42" s="5">
        <f>IF(G42&gt;0, (F42/G42)*100, 0)</f>
        <v/>
      </c>
      <c r="P42" s="5">
        <f>IF((G42+H42)&gt;0, (F42/(G42+H42))*100, 0)</f>
        <v/>
      </c>
      <c r="Q42" s="5">
        <f>IF(J42&gt;0, F42/J42, 0)</f>
        <v/>
      </c>
      <c r="R42" s="5">
        <f>MAX(0, MIN(35, IF((F42+E42)&lt;&gt;0, (E42/(F42+E42))*100, 0)))</f>
        <v/>
      </c>
      <c r="S42" s="5">
        <f>C42*(1-(R42/100))</f>
        <v/>
      </c>
      <c r="T42" s="5">
        <f>(G42+H42)-I42</f>
        <v/>
      </c>
      <c r="U42" s="5">
        <f>L42+(N42*M42)</f>
        <v/>
      </c>
      <c r="V42" s="5">
        <f>IF(H42&gt;0, (D42/H42)*(1-(R42/100))*100, 0)</f>
        <v/>
      </c>
      <c r="W42" s="5">
        <f>IF((K42+H42)&gt;0, ((K42/(K42+H42))*U42) + ((H42/(K42+H42))*V42), 0)</f>
        <v/>
      </c>
      <c r="X42" s="5">
        <f>S42-((W42/100)*T42)</f>
        <v/>
      </c>
    </row>
    <row r="43">
      <c r="A43" s="6" t="inlineStr">
        <is>
          <t>Coal India Ltd</t>
        </is>
      </c>
      <c r="B43" s="6" t="inlineStr">
        <is>
          <t>FY17</t>
        </is>
      </c>
      <c r="C43" s="7" t="n">
        <v>16000</v>
      </c>
      <c r="D43" s="7" t="n">
        <v>150</v>
      </c>
      <c r="E43" s="7" t="n">
        <v>4300</v>
      </c>
      <c r="F43" s="7" t="n">
        <v>11550</v>
      </c>
      <c r="G43" s="7" t="n">
        <v>28000</v>
      </c>
      <c r="H43" s="7" t="n">
        <v>1800</v>
      </c>
      <c r="I43" s="7" t="n">
        <v>12000</v>
      </c>
      <c r="J43" s="7" t="n">
        <v>616</v>
      </c>
      <c r="K43" s="7" t="n">
        <v>140000</v>
      </c>
      <c r="L43" s="7" t="n">
        <v>7</v>
      </c>
      <c r="M43" s="7" t="n">
        <v>7.46</v>
      </c>
      <c r="N43" s="7" t="n">
        <v>1.05</v>
      </c>
      <c r="O43" s="8">
        <f>IF(G43&gt;0, (F43/G43)*100, 0)</f>
        <v/>
      </c>
      <c r="P43" s="8">
        <f>IF((G43+H43)&gt;0, (F43/(G43+H43))*100, 0)</f>
        <v/>
      </c>
      <c r="Q43" s="8">
        <f>IF(J43&gt;0, F43/J43, 0)</f>
        <v/>
      </c>
      <c r="R43" s="8">
        <f>MAX(0, MIN(35, IF((F43+E43)&lt;&gt;0, (E43/(F43+E43))*100, 0)))</f>
        <v/>
      </c>
      <c r="S43" s="8">
        <f>C43*(1-(R43/100))</f>
        <v/>
      </c>
      <c r="T43" s="8">
        <f>(G43+H43)-I43</f>
        <v/>
      </c>
      <c r="U43" s="8">
        <f>L43+(N43*M43)</f>
        <v/>
      </c>
      <c r="V43" s="8">
        <f>IF(H43&gt;0, (D43/H43)*(1-(R43/100))*100, 0)</f>
        <v/>
      </c>
      <c r="W43" s="8">
        <f>IF((K43+H43)&gt;0, ((K43/(K43+H43))*U43) + ((H43/(K43+H43))*V43), 0)</f>
        <v/>
      </c>
      <c r="X43" s="8">
        <f>S43-((W43/100)*T43)</f>
        <v/>
      </c>
    </row>
    <row r="44">
      <c r="A44" s="3" t="inlineStr">
        <is>
          <t>Coal India Ltd</t>
        </is>
      </c>
      <c r="B44" s="3" t="inlineStr">
        <is>
          <t>FY18</t>
        </is>
      </c>
      <c r="C44" s="4" t="n">
        <v>14000</v>
      </c>
      <c r="D44" s="4" t="n">
        <v>200</v>
      </c>
      <c r="E44" s="4" t="n">
        <v>3800</v>
      </c>
      <c r="F44" s="4" t="n">
        <v>10000</v>
      </c>
      <c r="G44" s="4" t="n">
        <v>30000</v>
      </c>
      <c r="H44" s="4" t="n">
        <v>2500</v>
      </c>
      <c r="I44" s="4" t="n">
        <v>14000</v>
      </c>
      <c r="J44" s="4" t="n">
        <v>616</v>
      </c>
      <c r="K44" s="4" t="n">
        <v>130000</v>
      </c>
      <c r="L44" s="4" t="n">
        <v>7.2</v>
      </c>
      <c r="M44" s="4" t="n">
        <v>7.46</v>
      </c>
      <c r="N44" s="4" t="n">
        <v>1.05</v>
      </c>
      <c r="O44" s="5">
        <f>IF(G44&gt;0, (F44/G44)*100, 0)</f>
        <v/>
      </c>
      <c r="P44" s="5">
        <f>IF((G44+H44)&gt;0, (F44/(G44+H44))*100, 0)</f>
        <v/>
      </c>
      <c r="Q44" s="5">
        <f>IF(J44&gt;0, F44/J44, 0)</f>
        <v/>
      </c>
      <c r="R44" s="5">
        <f>MAX(0, MIN(35, IF((F44+E44)&lt;&gt;0, (E44/(F44+E44))*100, 0)))</f>
        <v/>
      </c>
      <c r="S44" s="5">
        <f>C44*(1-(R44/100))</f>
        <v/>
      </c>
      <c r="T44" s="5">
        <f>(G44+H44)-I44</f>
        <v/>
      </c>
      <c r="U44" s="5">
        <f>L44+(N44*M44)</f>
        <v/>
      </c>
      <c r="V44" s="5">
        <f>IF(H44&gt;0, (D44/H44)*(1-(R44/100))*100, 0)</f>
        <v/>
      </c>
      <c r="W44" s="5">
        <f>IF((K44+H44)&gt;0, ((K44/(K44+H44))*U44) + ((H44/(K44+H44))*V44), 0)</f>
        <v/>
      </c>
      <c r="X44" s="5">
        <f>S44-((W44/100)*T44)</f>
        <v/>
      </c>
    </row>
    <row r="45">
      <c r="A45" s="6" t="inlineStr">
        <is>
          <t>Coal India Ltd</t>
        </is>
      </c>
      <c r="B45" s="6" t="inlineStr">
        <is>
          <t>FY19</t>
        </is>
      </c>
      <c r="C45" s="7" t="n">
        <v>17000</v>
      </c>
      <c r="D45" s="7" t="n">
        <v>300</v>
      </c>
      <c r="E45" s="7" t="n">
        <v>4500</v>
      </c>
      <c r="F45" s="7" t="n">
        <v>12200</v>
      </c>
      <c r="G45" s="7" t="n">
        <v>32000</v>
      </c>
      <c r="H45" s="7" t="n">
        <v>4000</v>
      </c>
      <c r="I45" s="7" t="n">
        <v>15000</v>
      </c>
      <c r="J45" s="7" t="n">
        <v>616</v>
      </c>
      <c r="K45" s="7" t="n">
        <v>110000</v>
      </c>
      <c r="L45" s="7" t="n">
        <v>7.4</v>
      </c>
      <c r="M45" s="7" t="n">
        <v>7.46</v>
      </c>
      <c r="N45" s="7" t="n">
        <v>1.05</v>
      </c>
      <c r="O45" s="8">
        <f>IF(G45&gt;0, (F45/G45)*100, 0)</f>
        <v/>
      </c>
      <c r="P45" s="8">
        <f>IF((G45+H45)&gt;0, (F45/(G45+H45))*100, 0)</f>
        <v/>
      </c>
      <c r="Q45" s="8">
        <f>IF(J45&gt;0, F45/J45, 0)</f>
        <v/>
      </c>
      <c r="R45" s="8">
        <f>MAX(0, MIN(35, IF((F45+E45)&lt;&gt;0, (E45/(F45+E45))*100, 0)))</f>
        <v/>
      </c>
      <c r="S45" s="8">
        <f>C45*(1-(R45/100))</f>
        <v/>
      </c>
      <c r="T45" s="8">
        <f>(G45+H45)-I45</f>
        <v/>
      </c>
      <c r="U45" s="8">
        <f>L45+(N45*M45)</f>
        <v/>
      </c>
      <c r="V45" s="8">
        <f>IF(H45&gt;0, (D45/H45)*(1-(R45/100))*100, 0)</f>
        <v/>
      </c>
      <c r="W45" s="8">
        <f>IF((K45+H45)&gt;0, ((K45/(K45+H45))*U45) + ((H45/(K45+H45))*V45), 0)</f>
        <v/>
      </c>
      <c r="X45" s="8">
        <f>S45-((W45/100)*T45)</f>
        <v/>
      </c>
    </row>
    <row r="46">
      <c r="A46" s="3" t="inlineStr">
        <is>
          <t>Coal India Ltd</t>
        </is>
      </c>
      <c r="B46" s="3" t="inlineStr">
        <is>
          <t>FY20</t>
        </is>
      </c>
      <c r="C46" s="4" t="n">
        <v>16500</v>
      </c>
      <c r="D46" s="4" t="n">
        <v>400</v>
      </c>
      <c r="E46" s="4" t="n">
        <v>4200</v>
      </c>
      <c r="F46" s="4" t="n">
        <v>11900</v>
      </c>
      <c r="G46" s="4" t="n">
        <v>34000</v>
      </c>
      <c r="H46" s="4" t="n">
        <v>5000</v>
      </c>
      <c r="I46" s="4" t="n">
        <v>16000</v>
      </c>
      <c r="J46" s="4" t="n">
        <v>616</v>
      </c>
      <c r="K46" s="4" t="n">
        <v>90000</v>
      </c>
      <c r="L46" s="4" t="n">
        <v>6</v>
      </c>
      <c r="M46" s="4" t="n">
        <v>7.46</v>
      </c>
      <c r="N46" s="4" t="n">
        <v>1.05</v>
      </c>
      <c r="O46" s="5">
        <f>IF(G46&gt;0, (F46/G46)*100, 0)</f>
        <v/>
      </c>
      <c r="P46" s="5">
        <f>IF((G46+H46)&gt;0, (F46/(G46+H46))*100, 0)</f>
        <v/>
      </c>
      <c r="Q46" s="5">
        <f>IF(J46&gt;0, F46/J46, 0)</f>
        <v/>
      </c>
      <c r="R46" s="5">
        <f>MAX(0, MIN(35, IF((F46+E46)&lt;&gt;0, (E46/(F46+E46))*100, 0)))</f>
        <v/>
      </c>
      <c r="S46" s="5">
        <f>C46*(1-(R46/100))</f>
        <v/>
      </c>
      <c r="T46" s="5">
        <f>(G46+H46)-I46</f>
        <v/>
      </c>
      <c r="U46" s="5">
        <f>L46+(N46*M46)</f>
        <v/>
      </c>
      <c r="V46" s="5">
        <f>IF(H46&gt;0, (D46/H46)*(1-(R46/100))*100, 0)</f>
        <v/>
      </c>
      <c r="W46" s="5">
        <f>IF((K46+H46)&gt;0, ((K46/(K46+H46))*U46) + ((H46/(K46+H46))*V46), 0)</f>
        <v/>
      </c>
      <c r="X46" s="5">
        <f>S46-((W46/100)*T46)</f>
        <v/>
      </c>
    </row>
    <row r="47">
      <c r="A47" s="6" t="inlineStr">
        <is>
          <t>Coal India Ltd</t>
        </is>
      </c>
      <c r="B47" s="6" t="inlineStr">
        <is>
          <t>FY21</t>
        </is>
      </c>
      <c r="C47" s="7" t="n">
        <v>18000</v>
      </c>
      <c r="D47" s="7" t="n">
        <v>500</v>
      </c>
      <c r="E47" s="7" t="n">
        <v>4500</v>
      </c>
      <c r="F47" s="7" t="n">
        <v>12700</v>
      </c>
      <c r="G47" s="7" t="n">
        <v>36000</v>
      </c>
      <c r="H47" s="7" t="n">
        <v>6000</v>
      </c>
      <c r="I47" s="7" t="n">
        <v>17000</v>
      </c>
      <c r="J47" s="7" t="n">
        <v>616</v>
      </c>
      <c r="K47" s="7" t="n">
        <v>80000</v>
      </c>
      <c r="L47" s="7" t="n">
        <v>5.5</v>
      </c>
      <c r="M47" s="7" t="n">
        <v>7.46</v>
      </c>
      <c r="N47" s="7" t="n">
        <v>1.05</v>
      </c>
      <c r="O47" s="8">
        <f>IF(G47&gt;0, (F47/G47)*100, 0)</f>
        <v/>
      </c>
      <c r="P47" s="8">
        <f>IF((G47+H47)&gt;0, (F47/(G47+H47))*100, 0)</f>
        <v/>
      </c>
      <c r="Q47" s="8">
        <f>IF(J47&gt;0, F47/J47, 0)</f>
        <v/>
      </c>
      <c r="R47" s="8">
        <f>MAX(0, MIN(35, IF((F47+E47)&lt;&gt;0, (E47/(F47+E47))*100, 0)))</f>
        <v/>
      </c>
      <c r="S47" s="8">
        <f>C47*(1-(R47/100))</f>
        <v/>
      </c>
      <c r="T47" s="8">
        <f>(G47+H47)-I47</f>
        <v/>
      </c>
      <c r="U47" s="8">
        <f>L47+(N47*M47)</f>
        <v/>
      </c>
      <c r="V47" s="8">
        <f>IF(H47&gt;0, (D47/H47)*(1-(R47/100))*100, 0)</f>
        <v/>
      </c>
      <c r="W47" s="8">
        <f>IF((K47+H47)&gt;0, ((K47/(K47+H47))*U47) + ((H47/(K47+H47))*V47), 0)</f>
        <v/>
      </c>
      <c r="X47" s="8">
        <f>S47-((W47/100)*T47)</f>
        <v/>
      </c>
    </row>
    <row r="48">
      <c r="A48" s="3" t="inlineStr">
        <is>
          <t>Coal India Ltd</t>
        </is>
      </c>
      <c r="B48" s="3" t="inlineStr">
        <is>
          <t>FY22</t>
        </is>
      </c>
      <c r="C48" s="4" t="n">
        <v>25000</v>
      </c>
      <c r="D48" s="4" t="n">
        <v>600</v>
      </c>
      <c r="E48" s="4" t="n">
        <v>6500</v>
      </c>
      <c r="F48" s="4" t="n">
        <v>17300</v>
      </c>
      <c r="G48" s="4" t="n">
        <v>43000</v>
      </c>
      <c r="H48" s="4" t="n">
        <v>5000</v>
      </c>
      <c r="I48" s="4" t="n">
        <v>25000</v>
      </c>
      <c r="J48" s="4" t="n">
        <v>616</v>
      </c>
      <c r="K48" s="4" t="n">
        <v>100000</v>
      </c>
      <c r="L48" s="4" t="n">
        <v>6</v>
      </c>
      <c r="M48" s="4" t="n">
        <v>7.46</v>
      </c>
      <c r="N48" s="4" t="n">
        <v>1.05</v>
      </c>
      <c r="O48" s="5">
        <f>IF(G48&gt;0, (F48/G48)*100, 0)</f>
        <v/>
      </c>
      <c r="P48" s="5">
        <f>IF((G48+H48)&gt;0, (F48/(G48+H48))*100, 0)</f>
        <v/>
      </c>
      <c r="Q48" s="5">
        <f>IF(J48&gt;0, F48/J48, 0)</f>
        <v/>
      </c>
      <c r="R48" s="5">
        <f>MAX(0, MIN(35, IF((F48+E48)&lt;&gt;0, (E48/(F48+E48))*100, 0)))</f>
        <v/>
      </c>
      <c r="S48" s="5">
        <f>C48*(1-(R48/100))</f>
        <v/>
      </c>
      <c r="T48" s="5">
        <f>(G48+H48)-I48</f>
        <v/>
      </c>
      <c r="U48" s="5">
        <f>L48+(N48*M48)</f>
        <v/>
      </c>
      <c r="V48" s="5">
        <f>IF(H48&gt;0, (D48/H48)*(1-(R48/100))*100, 0)</f>
        <v/>
      </c>
      <c r="W48" s="5">
        <f>IF((K48+H48)&gt;0, ((K48/(K48+H48))*U48) + ((H48/(K48+H48))*V48), 0)</f>
        <v/>
      </c>
      <c r="X48" s="5">
        <f>S48-((W48/100)*T48)</f>
        <v/>
      </c>
    </row>
    <row r="49">
      <c r="A49" s="6" t="inlineStr">
        <is>
          <t>Coal India Ltd</t>
        </is>
      </c>
      <c r="B49" s="6" t="inlineStr">
        <is>
          <t>FY23</t>
        </is>
      </c>
      <c r="C49" s="7" t="n">
        <v>38000</v>
      </c>
      <c r="D49" s="7" t="n">
        <v>700</v>
      </c>
      <c r="E49" s="7" t="n">
        <v>9500</v>
      </c>
      <c r="F49" s="7" t="n">
        <v>28100</v>
      </c>
      <c r="G49" s="7" t="n">
        <v>57000</v>
      </c>
      <c r="H49" s="7" t="n">
        <v>4500</v>
      </c>
      <c r="I49" s="7" t="n">
        <v>35000</v>
      </c>
      <c r="J49" s="7" t="n">
        <v>616</v>
      </c>
      <c r="K49" s="7" t="n">
        <v>150000</v>
      </c>
      <c r="L49" s="7" t="n">
        <v>6.5</v>
      </c>
      <c r="M49" s="7" t="n">
        <v>7.46</v>
      </c>
      <c r="N49" s="7" t="n">
        <v>1.05</v>
      </c>
      <c r="O49" s="8">
        <f>IF(G49&gt;0, (F49/G49)*100, 0)</f>
        <v/>
      </c>
      <c r="P49" s="8">
        <f>IF((G49+H49)&gt;0, (F49/(G49+H49))*100, 0)</f>
        <v/>
      </c>
      <c r="Q49" s="8">
        <f>IF(J49&gt;0, F49/J49, 0)</f>
        <v/>
      </c>
      <c r="R49" s="8">
        <f>MAX(0, MIN(35, IF((F49+E49)&lt;&gt;0, (E49/(F49+E49))*100, 0)))</f>
        <v/>
      </c>
      <c r="S49" s="8">
        <f>C49*(1-(R49/100))</f>
        <v/>
      </c>
      <c r="T49" s="8">
        <f>(G49+H49)-I49</f>
        <v/>
      </c>
      <c r="U49" s="8">
        <f>L49+(N49*M49)</f>
        <v/>
      </c>
      <c r="V49" s="8">
        <f>IF(H49&gt;0, (D49/H49)*(1-(R49/100))*100, 0)</f>
        <v/>
      </c>
      <c r="W49" s="8">
        <f>IF((K49+H49)&gt;0, ((K49/(K49+H49))*U49) + ((H49/(K49+H49))*V49), 0)</f>
        <v/>
      </c>
      <c r="X49" s="8">
        <f>S49-((W49/100)*T49)</f>
        <v/>
      </c>
    </row>
    <row r="50">
      <c r="A50" s="3" t="inlineStr">
        <is>
          <t>Coal India Ltd</t>
        </is>
      </c>
      <c r="B50" s="3" t="inlineStr">
        <is>
          <t>FY24</t>
        </is>
      </c>
      <c r="C50" s="4" t="n">
        <v>39000</v>
      </c>
      <c r="D50" s="4" t="n">
        <v>800</v>
      </c>
      <c r="E50" s="4" t="n">
        <v>9800</v>
      </c>
      <c r="F50" s="4" t="n">
        <v>29000</v>
      </c>
      <c r="G50" s="4" t="n">
        <v>75000</v>
      </c>
      <c r="H50" s="4" t="n">
        <v>4200</v>
      </c>
      <c r="I50" s="4" t="n">
        <v>32000</v>
      </c>
      <c r="J50" s="4" t="n">
        <v>616</v>
      </c>
      <c r="K50" s="4" t="n">
        <v>200000</v>
      </c>
      <c r="L50" s="4" t="n">
        <v>7</v>
      </c>
      <c r="M50" s="4" t="n">
        <v>7.46</v>
      </c>
      <c r="N50" s="4" t="n">
        <v>1.05</v>
      </c>
      <c r="O50" s="5">
        <f>IF(G50&gt;0, (F50/G50)*100, 0)</f>
        <v/>
      </c>
      <c r="P50" s="5">
        <f>IF((G50+H50)&gt;0, (F50/(G50+H50))*100, 0)</f>
        <v/>
      </c>
      <c r="Q50" s="5">
        <f>IF(J50&gt;0, F50/J50, 0)</f>
        <v/>
      </c>
      <c r="R50" s="5">
        <f>MAX(0, MIN(35, IF((F50+E50)&lt;&gt;0, (E50/(F50+E50))*100, 0)))</f>
        <v/>
      </c>
      <c r="S50" s="5">
        <f>C50*(1-(R50/100))</f>
        <v/>
      </c>
      <c r="T50" s="5">
        <f>(G50+H50)-I50</f>
        <v/>
      </c>
      <c r="U50" s="5">
        <f>L50+(N50*M50)</f>
        <v/>
      </c>
      <c r="V50" s="5">
        <f>IF(H50&gt;0, (D50/H50)*(1-(R50/100))*100, 0)</f>
        <v/>
      </c>
      <c r="W50" s="5">
        <f>IF((K50+H50)&gt;0, ((K50/(K50+H50))*U50) + ((H50/(K50+H50))*V50), 0)</f>
        <v/>
      </c>
      <c r="X50" s="5">
        <f>S50-((W50/100)*T50)</f>
        <v/>
      </c>
    </row>
    <row r="51">
      <c r="A51" s="6" t="inlineStr">
        <is>
          <t>Coal India Ltd</t>
        </is>
      </c>
      <c r="B51" s="6" t="inlineStr">
        <is>
          <t>FY25</t>
        </is>
      </c>
      <c r="C51" s="7" t="n">
        <v>41242</v>
      </c>
      <c r="D51" s="7" t="n">
        <v>1216</v>
      </c>
      <c r="E51" s="7" t="n">
        <v>10000</v>
      </c>
      <c r="F51" s="7" t="n">
        <v>31070</v>
      </c>
      <c r="G51" s="7" t="n">
        <v>119102</v>
      </c>
      <c r="H51" s="7" t="n">
        <v>4000</v>
      </c>
      <c r="I51" s="7" t="n">
        <v>30000</v>
      </c>
      <c r="J51" s="7" t="n">
        <v>616</v>
      </c>
      <c r="K51" s="7" t="n">
        <v>264443</v>
      </c>
      <c r="L51" s="7" t="n">
        <v>6.67</v>
      </c>
      <c r="M51" s="7" t="n">
        <v>7.46</v>
      </c>
      <c r="N51" s="7" t="n">
        <v>1.05</v>
      </c>
      <c r="O51" s="8">
        <f>IF(G51&gt;0, (F51/G51)*100, 0)</f>
        <v/>
      </c>
      <c r="P51" s="8">
        <f>IF((G51+H51)&gt;0, (F51/(G51+H51))*100, 0)</f>
        <v/>
      </c>
      <c r="Q51" s="8">
        <f>IF(J51&gt;0, F51/J51, 0)</f>
        <v/>
      </c>
      <c r="R51" s="8">
        <f>MAX(0, MIN(35, IF((F51+E51)&lt;&gt;0, (E51/(F51+E51))*100, 0)))</f>
        <v/>
      </c>
      <c r="S51" s="8">
        <f>C51*(1-(R51/100))</f>
        <v/>
      </c>
      <c r="T51" s="8">
        <f>(G51+H51)-I51</f>
        <v/>
      </c>
      <c r="U51" s="8">
        <f>L51+(N51*M51)</f>
        <v/>
      </c>
      <c r="V51" s="8">
        <f>IF(H51&gt;0, (D51/H51)*(1-(R51/100))*100, 0)</f>
        <v/>
      </c>
      <c r="W51" s="8">
        <f>IF((K51+H51)&gt;0, ((K51/(K51+H51))*U51) + ((H51/(K51+H51))*V51), 0)</f>
        <v/>
      </c>
      <c r="X51" s="8">
        <f>S51-((W51/100)*T51)</f>
        <v/>
      </c>
    </row>
    <row r="52">
      <c r="A52" s="3" t="inlineStr">
        <is>
          <t>Infosys Ltd</t>
        </is>
      </c>
      <c r="B52" s="3" t="inlineStr">
        <is>
          <t>FY16</t>
        </is>
      </c>
      <c r="C52" s="4" t="n">
        <v>15000</v>
      </c>
      <c r="D52" s="4" t="n">
        <v>50</v>
      </c>
      <c r="E52" s="4" t="n">
        <v>4000</v>
      </c>
      <c r="F52" s="4" t="n">
        <v>10950</v>
      </c>
      <c r="G52" s="4" t="n">
        <v>50000</v>
      </c>
      <c r="H52" s="4" t="n">
        <v>0</v>
      </c>
      <c r="I52" s="4" t="n">
        <v>15000</v>
      </c>
      <c r="J52" s="4" t="n">
        <v>415</v>
      </c>
      <c r="K52" s="4" t="n">
        <v>200000</v>
      </c>
      <c r="L52" s="4" t="n">
        <v>7.5</v>
      </c>
      <c r="M52" s="4" t="n">
        <v>7.46</v>
      </c>
      <c r="N52" s="4" t="n">
        <v>0.9</v>
      </c>
      <c r="O52" s="5">
        <f>IF(G52&gt;0, (F52/G52)*100, 0)</f>
        <v/>
      </c>
      <c r="P52" s="5">
        <f>IF((G52+H52)&gt;0, (F52/(G52+H52))*100, 0)</f>
        <v/>
      </c>
      <c r="Q52" s="5">
        <f>IF(J52&gt;0, F52/J52, 0)</f>
        <v/>
      </c>
      <c r="R52" s="5">
        <f>MAX(0, MIN(35, IF((F52+E52)&lt;&gt;0, (E52/(F52+E52))*100, 0)))</f>
        <v/>
      </c>
      <c r="S52" s="5">
        <f>C52*(1-(R52/100))</f>
        <v/>
      </c>
      <c r="T52" s="5">
        <f>(G52+H52)-I52</f>
        <v/>
      </c>
      <c r="U52" s="5">
        <f>L52+(N52*M52)</f>
        <v/>
      </c>
      <c r="V52" s="5">
        <f>IF(H52&gt;0, (D52/H52)*(1-(R52/100))*100, 0)</f>
        <v/>
      </c>
      <c r="W52" s="5">
        <f>IF((K52+H52)&gt;0, ((K52/(K52+H52))*U52) + ((H52/(K52+H52))*V52), 0)</f>
        <v/>
      </c>
      <c r="X52" s="5">
        <f>S52-((W52/100)*T52)</f>
        <v/>
      </c>
    </row>
    <row r="53">
      <c r="A53" s="6" t="inlineStr">
        <is>
          <t>Infosys Ltd</t>
        </is>
      </c>
      <c r="B53" s="6" t="inlineStr">
        <is>
          <t>FY17</t>
        </is>
      </c>
      <c r="C53" s="7" t="n">
        <v>17000</v>
      </c>
      <c r="D53" s="7" t="n">
        <v>60</v>
      </c>
      <c r="E53" s="7" t="n">
        <v>4500</v>
      </c>
      <c r="F53" s="7" t="n">
        <v>12440</v>
      </c>
      <c r="G53" s="7" t="n">
        <v>55000</v>
      </c>
      <c r="H53" s="7" t="n">
        <v>0</v>
      </c>
      <c r="I53" s="7" t="n">
        <v>18000</v>
      </c>
      <c r="J53" s="7" t="n">
        <v>415</v>
      </c>
      <c r="K53" s="7" t="n">
        <v>250000</v>
      </c>
      <c r="L53" s="7" t="n">
        <v>7</v>
      </c>
      <c r="M53" s="7" t="n">
        <v>7.46</v>
      </c>
      <c r="N53" s="7" t="n">
        <v>0.9</v>
      </c>
      <c r="O53" s="8">
        <f>IF(G53&gt;0, (F53/G53)*100, 0)</f>
        <v/>
      </c>
      <c r="P53" s="8">
        <f>IF((G53+H53)&gt;0, (F53/(G53+H53))*100, 0)</f>
        <v/>
      </c>
      <c r="Q53" s="8">
        <f>IF(J53&gt;0, F53/J53, 0)</f>
        <v/>
      </c>
      <c r="R53" s="8">
        <f>MAX(0, MIN(35, IF((F53+E53)&lt;&gt;0, (E53/(F53+E53))*100, 0)))</f>
        <v/>
      </c>
      <c r="S53" s="8">
        <f>C53*(1-(R53/100))</f>
        <v/>
      </c>
      <c r="T53" s="8">
        <f>(G53+H53)-I53</f>
        <v/>
      </c>
      <c r="U53" s="8">
        <f>L53+(N53*M53)</f>
        <v/>
      </c>
      <c r="V53" s="8">
        <f>IF(H53&gt;0, (D53/H53)*(1-(R53/100))*100, 0)</f>
        <v/>
      </c>
      <c r="W53" s="8">
        <f>IF((K53+H53)&gt;0, ((K53/(K53+H53))*U53) + ((H53/(K53+H53))*V53), 0)</f>
        <v/>
      </c>
      <c r="X53" s="8">
        <f>S53-((W53/100)*T53)</f>
        <v/>
      </c>
    </row>
    <row r="54">
      <c r="A54" s="3" t="inlineStr">
        <is>
          <t>Infosys Ltd</t>
        </is>
      </c>
      <c r="B54" s="3" t="inlineStr">
        <is>
          <t>FY18</t>
        </is>
      </c>
      <c r="C54" s="4" t="n">
        <v>18500</v>
      </c>
      <c r="D54" s="4" t="n">
        <v>80</v>
      </c>
      <c r="E54" s="4" t="n">
        <v>5000</v>
      </c>
      <c r="F54" s="4" t="n">
        <v>13420</v>
      </c>
      <c r="G54" s="4" t="n">
        <v>60000</v>
      </c>
      <c r="H54" s="4" t="n">
        <v>0</v>
      </c>
      <c r="I54" s="4" t="n">
        <v>20000</v>
      </c>
      <c r="J54" s="4" t="n">
        <v>415</v>
      </c>
      <c r="K54" s="4" t="n">
        <v>280000</v>
      </c>
      <c r="L54" s="4" t="n">
        <v>7.2</v>
      </c>
      <c r="M54" s="4" t="n">
        <v>7.46</v>
      </c>
      <c r="N54" s="4" t="n">
        <v>0.9</v>
      </c>
      <c r="O54" s="5">
        <f>IF(G54&gt;0, (F54/G54)*100, 0)</f>
        <v/>
      </c>
      <c r="P54" s="5">
        <f>IF((G54+H54)&gt;0, (F54/(G54+H54))*100, 0)</f>
        <v/>
      </c>
      <c r="Q54" s="5">
        <f>IF(J54&gt;0, F54/J54, 0)</f>
        <v/>
      </c>
      <c r="R54" s="5">
        <f>MAX(0, MIN(35, IF((F54+E54)&lt;&gt;0, (E54/(F54+E54))*100, 0)))</f>
        <v/>
      </c>
      <c r="S54" s="5">
        <f>C54*(1-(R54/100))</f>
        <v/>
      </c>
      <c r="T54" s="5">
        <f>(G54+H54)-I54</f>
        <v/>
      </c>
      <c r="U54" s="5">
        <f>L54+(N54*M54)</f>
        <v/>
      </c>
      <c r="V54" s="5">
        <f>IF(H54&gt;0, (D54/H54)*(1-(R54/100))*100, 0)</f>
        <v/>
      </c>
      <c r="W54" s="5">
        <f>IF((K54+H54)&gt;0, ((K54/(K54+H54))*U54) + ((H54/(K54+H54))*V54), 0)</f>
        <v/>
      </c>
      <c r="X54" s="5">
        <f>S54-((W54/100)*T54)</f>
        <v/>
      </c>
    </row>
    <row r="55">
      <c r="A55" s="6" t="inlineStr">
        <is>
          <t>Infosys Ltd</t>
        </is>
      </c>
      <c r="B55" s="6" t="inlineStr">
        <is>
          <t>FY19</t>
        </is>
      </c>
      <c r="C55" s="7" t="n">
        <v>20000</v>
      </c>
      <c r="D55" s="7" t="n">
        <v>100</v>
      </c>
      <c r="E55" s="7" t="n">
        <v>5500</v>
      </c>
      <c r="F55" s="7" t="n">
        <v>14400</v>
      </c>
      <c r="G55" s="7" t="n">
        <v>65000</v>
      </c>
      <c r="H55" s="7" t="n">
        <v>0</v>
      </c>
      <c r="I55" s="7" t="n">
        <v>21000</v>
      </c>
      <c r="J55" s="7" t="n">
        <v>415</v>
      </c>
      <c r="K55" s="7" t="n">
        <v>320000</v>
      </c>
      <c r="L55" s="7" t="n">
        <v>7.4</v>
      </c>
      <c r="M55" s="7" t="n">
        <v>7.46</v>
      </c>
      <c r="N55" s="7" t="n">
        <v>0.9</v>
      </c>
      <c r="O55" s="8">
        <f>IF(G55&gt;0, (F55/G55)*100, 0)</f>
        <v/>
      </c>
      <c r="P55" s="8">
        <f>IF((G55+H55)&gt;0, (F55/(G55+H55))*100, 0)</f>
        <v/>
      </c>
      <c r="Q55" s="8">
        <f>IF(J55&gt;0, F55/J55, 0)</f>
        <v/>
      </c>
      <c r="R55" s="8">
        <f>MAX(0, MIN(35, IF((F55+E55)&lt;&gt;0, (E55/(F55+E55))*100, 0)))</f>
        <v/>
      </c>
      <c r="S55" s="8">
        <f>C55*(1-(R55/100))</f>
        <v/>
      </c>
      <c r="T55" s="8">
        <f>(G55+H55)-I55</f>
        <v/>
      </c>
      <c r="U55" s="8">
        <f>L55+(N55*M55)</f>
        <v/>
      </c>
      <c r="V55" s="8">
        <f>IF(H55&gt;0, (D55/H55)*(1-(R55/100))*100, 0)</f>
        <v/>
      </c>
      <c r="W55" s="8">
        <f>IF((K55+H55)&gt;0, ((K55/(K55+H55))*U55) + ((H55/(K55+H55))*V55), 0)</f>
        <v/>
      </c>
      <c r="X55" s="8">
        <f>S55-((W55/100)*T55)</f>
        <v/>
      </c>
    </row>
    <row r="56">
      <c r="A56" s="3" t="inlineStr">
        <is>
          <t>Infosys Ltd</t>
        </is>
      </c>
      <c r="B56" s="3" t="inlineStr">
        <is>
          <t>FY20</t>
        </is>
      </c>
      <c r="C56" s="4" t="n">
        <v>21500</v>
      </c>
      <c r="D56" s="4" t="n">
        <v>120</v>
      </c>
      <c r="E56" s="4" t="n">
        <v>6000</v>
      </c>
      <c r="F56" s="4" t="n">
        <v>15380</v>
      </c>
      <c r="G56" s="4" t="n">
        <v>70000</v>
      </c>
      <c r="H56" s="4" t="n">
        <v>0</v>
      </c>
      <c r="I56" s="4" t="n">
        <v>22000</v>
      </c>
      <c r="J56" s="4" t="n">
        <v>415</v>
      </c>
      <c r="K56" s="4" t="n">
        <v>400000</v>
      </c>
      <c r="L56" s="4" t="n">
        <v>6</v>
      </c>
      <c r="M56" s="4" t="n">
        <v>7.46</v>
      </c>
      <c r="N56" s="4" t="n">
        <v>0.9</v>
      </c>
      <c r="O56" s="5">
        <f>IF(G56&gt;0, (F56/G56)*100, 0)</f>
        <v/>
      </c>
      <c r="P56" s="5">
        <f>IF((G56+H56)&gt;0, (F56/(G56+H56))*100, 0)</f>
        <v/>
      </c>
      <c r="Q56" s="5">
        <f>IF(J56&gt;0, F56/J56, 0)</f>
        <v/>
      </c>
      <c r="R56" s="5">
        <f>MAX(0, MIN(35, IF((F56+E56)&lt;&gt;0, (E56/(F56+E56))*100, 0)))</f>
        <v/>
      </c>
      <c r="S56" s="5">
        <f>C56*(1-(R56/100))</f>
        <v/>
      </c>
      <c r="T56" s="5">
        <f>(G56+H56)-I56</f>
        <v/>
      </c>
      <c r="U56" s="5">
        <f>L56+(N56*M56)</f>
        <v/>
      </c>
      <c r="V56" s="5">
        <f>IF(H56&gt;0, (D56/H56)*(1-(R56/100))*100, 0)</f>
        <v/>
      </c>
      <c r="W56" s="5">
        <f>IF((K56+H56)&gt;0, ((K56/(K56+H56))*U56) + ((H56/(K56+H56))*V56), 0)</f>
        <v/>
      </c>
      <c r="X56" s="5">
        <f>S56-((W56/100)*T56)</f>
        <v/>
      </c>
    </row>
    <row r="57">
      <c r="A57" s="6" t="inlineStr">
        <is>
          <t>Infosys Ltd</t>
        </is>
      </c>
      <c r="B57" s="6" t="inlineStr">
        <is>
          <t>FY21</t>
        </is>
      </c>
      <c r="C57" s="7" t="n">
        <v>23000</v>
      </c>
      <c r="D57" s="7" t="n">
        <v>150</v>
      </c>
      <c r="E57" s="7" t="n">
        <v>6500</v>
      </c>
      <c r="F57" s="7" t="n">
        <v>19300</v>
      </c>
      <c r="G57" s="7" t="n">
        <v>76000</v>
      </c>
      <c r="H57" s="7" t="n">
        <v>0</v>
      </c>
      <c r="I57" s="7" t="n">
        <v>24000</v>
      </c>
      <c r="J57" s="7" t="n">
        <v>415</v>
      </c>
      <c r="K57" s="7" t="n">
        <v>500000</v>
      </c>
      <c r="L57" s="7" t="n">
        <v>5.5</v>
      </c>
      <c r="M57" s="7" t="n">
        <v>7.46</v>
      </c>
      <c r="N57" s="7" t="n">
        <v>0.9</v>
      </c>
      <c r="O57" s="8">
        <f>IF(G57&gt;0, (F57/G57)*100, 0)</f>
        <v/>
      </c>
      <c r="P57" s="8">
        <f>IF((G57+H57)&gt;0, (F57/(G57+H57))*100, 0)</f>
        <v/>
      </c>
      <c r="Q57" s="8">
        <f>IF(J57&gt;0, F57/J57, 0)</f>
        <v/>
      </c>
      <c r="R57" s="8">
        <f>MAX(0, MIN(35, IF((F57+E57)&lt;&gt;0, (E57/(F57+E57))*100, 0)))</f>
        <v/>
      </c>
      <c r="S57" s="8">
        <f>C57*(1-(R57/100))</f>
        <v/>
      </c>
      <c r="T57" s="8">
        <f>(G57+H57)-I57</f>
        <v/>
      </c>
      <c r="U57" s="8">
        <f>L57+(N57*M57)</f>
        <v/>
      </c>
      <c r="V57" s="8">
        <f>IF(H57&gt;0, (D57/H57)*(1-(R57/100))*100, 0)</f>
        <v/>
      </c>
      <c r="W57" s="8">
        <f>IF((K57+H57)&gt;0, ((K57/(K57+H57))*U57) + ((H57/(K57+H57))*V57), 0)</f>
        <v/>
      </c>
      <c r="X57" s="8">
        <f>S57-((W57/100)*T57)</f>
        <v/>
      </c>
    </row>
    <row r="58">
      <c r="A58" s="3" t="inlineStr">
        <is>
          <t>Infosys Ltd</t>
        </is>
      </c>
      <c r="B58" s="3" t="inlineStr">
        <is>
          <t>FY22</t>
        </is>
      </c>
      <c r="C58" s="4" t="n">
        <v>26000</v>
      </c>
      <c r="D58" s="4" t="n">
        <v>170</v>
      </c>
      <c r="E58" s="4" t="n">
        <v>7500</v>
      </c>
      <c r="F58" s="4" t="n">
        <v>22100</v>
      </c>
      <c r="G58" s="4" t="n">
        <v>75000</v>
      </c>
      <c r="H58" s="4" t="n">
        <v>0</v>
      </c>
      <c r="I58" s="4" t="n">
        <v>22000</v>
      </c>
      <c r="J58" s="4" t="n">
        <v>415</v>
      </c>
      <c r="K58" s="4" t="n">
        <v>650000</v>
      </c>
      <c r="L58" s="4" t="n">
        <v>6</v>
      </c>
      <c r="M58" s="4" t="n">
        <v>7.46</v>
      </c>
      <c r="N58" s="4" t="n">
        <v>0.9</v>
      </c>
      <c r="O58" s="5">
        <f>IF(G58&gt;0, (F58/G58)*100, 0)</f>
        <v/>
      </c>
      <c r="P58" s="5">
        <f>IF((G58+H58)&gt;0, (F58/(G58+H58))*100, 0)</f>
        <v/>
      </c>
      <c r="Q58" s="5">
        <f>IF(J58&gt;0, F58/J58, 0)</f>
        <v/>
      </c>
      <c r="R58" s="5">
        <f>MAX(0, MIN(35, IF((F58+E58)&lt;&gt;0, (E58/(F58+E58))*100, 0)))</f>
        <v/>
      </c>
      <c r="S58" s="5">
        <f>C58*(1-(R58/100))</f>
        <v/>
      </c>
      <c r="T58" s="5">
        <f>(G58+H58)-I58</f>
        <v/>
      </c>
      <c r="U58" s="5">
        <f>L58+(N58*M58)</f>
        <v/>
      </c>
      <c r="V58" s="5">
        <f>IF(H58&gt;0, (D58/H58)*(1-(R58/100))*100, 0)</f>
        <v/>
      </c>
      <c r="W58" s="5">
        <f>IF((K58+H58)&gt;0, ((K58/(K58+H58))*U58) + ((H58/(K58+H58))*V58), 0)</f>
        <v/>
      </c>
      <c r="X58" s="5">
        <f>S58-((W58/100)*T58)</f>
        <v/>
      </c>
    </row>
    <row r="59">
      <c r="A59" s="6" t="inlineStr">
        <is>
          <t>Infosys Ltd</t>
        </is>
      </c>
      <c r="B59" s="6" t="inlineStr">
        <is>
          <t>FY23</t>
        </is>
      </c>
      <c r="C59" s="7" t="n">
        <v>30000</v>
      </c>
      <c r="D59" s="7" t="n">
        <v>190</v>
      </c>
      <c r="E59" s="7" t="n">
        <v>8500</v>
      </c>
      <c r="F59" s="7" t="n">
        <v>24000</v>
      </c>
      <c r="G59" s="7" t="n">
        <v>75000</v>
      </c>
      <c r="H59" s="7" t="n">
        <v>0</v>
      </c>
      <c r="I59" s="7" t="n">
        <v>21000</v>
      </c>
      <c r="J59" s="7" t="n">
        <v>415</v>
      </c>
      <c r="K59" s="7" t="n">
        <v>600000</v>
      </c>
      <c r="L59" s="7" t="n">
        <v>6.5</v>
      </c>
      <c r="M59" s="7" t="n">
        <v>7.46</v>
      </c>
      <c r="N59" s="7" t="n">
        <v>0.9</v>
      </c>
      <c r="O59" s="8">
        <f>IF(G59&gt;0, (F59/G59)*100, 0)</f>
        <v/>
      </c>
      <c r="P59" s="8">
        <f>IF((G59+H59)&gt;0, (F59/(G59+H59))*100, 0)</f>
        <v/>
      </c>
      <c r="Q59" s="8">
        <f>IF(J59&gt;0, F59/J59, 0)</f>
        <v/>
      </c>
      <c r="R59" s="8">
        <f>MAX(0, MIN(35, IF((F59+E59)&lt;&gt;0, (E59/(F59+E59))*100, 0)))</f>
        <v/>
      </c>
      <c r="S59" s="8">
        <f>C59*(1-(R59/100))</f>
        <v/>
      </c>
      <c r="T59" s="8">
        <f>(G59+H59)-I59</f>
        <v/>
      </c>
      <c r="U59" s="8">
        <f>L59+(N59*M59)</f>
        <v/>
      </c>
      <c r="V59" s="8">
        <f>IF(H59&gt;0, (D59/H59)*(1-(R59/100))*100, 0)</f>
        <v/>
      </c>
      <c r="W59" s="8">
        <f>IF((K59+H59)&gt;0, ((K59/(K59+H59))*U59) + ((H59/(K59+H59))*V59), 0)</f>
        <v/>
      </c>
      <c r="X59" s="8">
        <f>S59-((W59/100)*T59)</f>
        <v/>
      </c>
    </row>
    <row r="60">
      <c r="A60" s="3" t="inlineStr">
        <is>
          <t>Infosys Ltd</t>
        </is>
      </c>
      <c r="B60" s="3" t="inlineStr">
        <is>
          <t>FY24</t>
        </is>
      </c>
      <c r="C60" s="4" t="n">
        <v>31747</v>
      </c>
      <c r="D60" s="4" t="n">
        <v>200</v>
      </c>
      <c r="E60" s="4" t="n">
        <v>9000</v>
      </c>
      <c r="F60" s="4" t="n">
        <v>26233</v>
      </c>
      <c r="G60" s="4" t="n">
        <v>78000</v>
      </c>
      <c r="H60" s="4" t="n">
        <v>0</v>
      </c>
      <c r="I60" s="4" t="n">
        <v>20500</v>
      </c>
      <c r="J60" s="4" t="n">
        <v>415</v>
      </c>
      <c r="K60" s="4" t="n">
        <v>620000</v>
      </c>
      <c r="L60" s="4" t="n">
        <v>7</v>
      </c>
      <c r="M60" s="4" t="n">
        <v>7.46</v>
      </c>
      <c r="N60" s="4" t="n">
        <v>0.9</v>
      </c>
      <c r="O60" s="5">
        <f>IF(G60&gt;0, (F60/G60)*100, 0)</f>
        <v/>
      </c>
      <c r="P60" s="5">
        <f>IF((G60+H60)&gt;0, (F60/(G60+H60))*100, 0)</f>
        <v/>
      </c>
      <c r="Q60" s="5">
        <f>IF(J60&gt;0, F60/J60, 0)</f>
        <v/>
      </c>
      <c r="R60" s="5">
        <f>MAX(0, MIN(35, IF((F60+E60)&lt;&gt;0, (E60/(F60+E60))*100, 0)))</f>
        <v/>
      </c>
      <c r="S60" s="5">
        <f>C60*(1-(R60/100))</f>
        <v/>
      </c>
      <c r="T60" s="5">
        <f>(G60+H60)-I60</f>
        <v/>
      </c>
      <c r="U60" s="5">
        <f>L60+(N60*M60)</f>
        <v/>
      </c>
      <c r="V60" s="5">
        <f>IF(H60&gt;0, (D60/H60)*(1-(R60/100))*100, 0)</f>
        <v/>
      </c>
      <c r="W60" s="5">
        <f>IF((K60+H60)&gt;0, ((K60/(K60+H60))*U60) + ((H60/(K60+H60))*V60), 0)</f>
        <v/>
      </c>
      <c r="X60" s="5">
        <f>S60-((W60/100)*T60)</f>
        <v/>
      </c>
    </row>
    <row r="61">
      <c r="A61" s="6" t="inlineStr">
        <is>
          <t>Infosys Ltd</t>
        </is>
      </c>
      <c r="B61" s="6" t="inlineStr">
        <is>
          <t>FY25</t>
        </is>
      </c>
      <c r="C61" s="7" t="n">
        <v>33425</v>
      </c>
      <c r="D61" s="7" t="n">
        <v>207</v>
      </c>
      <c r="E61" s="7" t="n">
        <v>9546</v>
      </c>
      <c r="F61" s="7" t="n">
        <v>29211</v>
      </c>
      <c r="G61" s="7" t="n">
        <v>80874</v>
      </c>
      <c r="H61" s="7" t="n">
        <v>0</v>
      </c>
      <c r="I61" s="7" t="n">
        <v>20000</v>
      </c>
      <c r="J61" s="7" t="n">
        <v>415</v>
      </c>
      <c r="K61" s="7" t="n">
        <v>433349</v>
      </c>
      <c r="L61" s="7" t="n">
        <v>6.67</v>
      </c>
      <c r="M61" s="7" t="n">
        <v>7.46</v>
      </c>
      <c r="N61" s="7" t="n">
        <v>0.9</v>
      </c>
      <c r="O61" s="8">
        <f>IF(G61&gt;0, (F61/G61)*100, 0)</f>
        <v/>
      </c>
      <c r="P61" s="8">
        <f>IF((G61+H61)&gt;0, (F61/(G61+H61))*100, 0)</f>
        <v/>
      </c>
      <c r="Q61" s="8">
        <f>IF(J61&gt;0, F61/J61, 0)</f>
        <v/>
      </c>
      <c r="R61" s="8">
        <f>MAX(0, MIN(35, IF((F61+E61)&lt;&gt;0, (E61/(F61+E61))*100, 0)))</f>
        <v/>
      </c>
      <c r="S61" s="8">
        <f>C61*(1-(R61/100))</f>
        <v/>
      </c>
      <c r="T61" s="8">
        <f>(G61+H61)-I61</f>
        <v/>
      </c>
      <c r="U61" s="8">
        <f>L61+(N61*M61)</f>
        <v/>
      </c>
      <c r="V61" s="8">
        <f>IF(H61&gt;0, (D61/H61)*(1-(R61/100))*100, 0)</f>
        <v/>
      </c>
      <c r="W61" s="8">
        <f>IF((K61+H61)&gt;0, ((K61/(K61+H61))*U61) + ((H61/(K61+H61))*V61), 0)</f>
        <v/>
      </c>
      <c r="X61" s="8">
        <f>S61-((W61/100)*T61)</f>
        <v/>
      </c>
    </row>
    <row r="62">
      <c r="A62" s="3" t="inlineStr">
        <is>
          <t>Tata Consultancy Services Ltd</t>
        </is>
      </c>
      <c r="B62" s="3" t="inlineStr">
        <is>
          <t>FY16</t>
        </is>
      </c>
      <c r="C62" s="4" t="n">
        <v>25000</v>
      </c>
      <c r="D62" s="4" t="n">
        <v>100</v>
      </c>
      <c r="E62" s="4" t="n">
        <v>6000</v>
      </c>
      <c r="F62" s="4" t="n">
        <v>18900</v>
      </c>
      <c r="G62" s="4" t="n">
        <v>60000</v>
      </c>
      <c r="H62" s="4" t="n">
        <v>0</v>
      </c>
      <c r="I62" s="4" t="n">
        <v>20000</v>
      </c>
      <c r="J62" s="4" t="n">
        <v>365</v>
      </c>
      <c r="K62" s="4" t="n">
        <v>500000</v>
      </c>
      <c r="L62" s="4" t="n">
        <v>7.5</v>
      </c>
      <c r="M62" s="4" t="n">
        <v>7.46</v>
      </c>
      <c r="N62" s="4" t="n">
        <v>0.7</v>
      </c>
      <c r="O62" s="5">
        <f>IF(G62&gt;0, (F62/G62)*100, 0)</f>
        <v/>
      </c>
      <c r="P62" s="5">
        <f>IF((G62+H62)&gt;0, (F62/(G62+H62))*100, 0)</f>
        <v/>
      </c>
      <c r="Q62" s="5">
        <f>IF(J62&gt;0, F62/J62, 0)</f>
        <v/>
      </c>
      <c r="R62" s="5">
        <f>MAX(0, MIN(35, IF((F62+E62)&lt;&gt;0, (E62/(F62+E62))*100, 0)))</f>
        <v/>
      </c>
      <c r="S62" s="5">
        <f>C62*(1-(R62/100))</f>
        <v/>
      </c>
      <c r="T62" s="5">
        <f>(G62+H62)-I62</f>
        <v/>
      </c>
      <c r="U62" s="5">
        <f>L62+(N62*M62)</f>
        <v/>
      </c>
      <c r="V62" s="5">
        <f>IF(H62&gt;0, (D62/H62)*(1-(R62/100))*100, 0)</f>
        <v/>
      </c>
      <c r="W62" s="5">
        <f>IF((K62+H62)&gt;0, ((K62/(K62+H62))*U62) + ((H62/(K62+H62))*V62), 0)</f>
        <v/>
      </c>
      <c r="X62" s="5">
        <f>S62-((W62/100)*T62)</f>
        <v/>
      </c>
    </row>
    <row r="63">
      <c r="A63" s="6" t="inlineStr">
        <is>
          <t>Tata Consultancy Services Ltd</t>
        </is>
      </c>
      <c r="B63" s="6" t="inlineStr">
        <is>
          <t>FY17</t>
        </is>
      </c>
      <c r="C63" s="7" t="n">
        <v>28000</v>
      </c>
      <c r="D63" s="7" t="n">
        <v>200</v>
      </c>
      <c r="E63" s="7" t="n">
        <v>7000</v>
      </c>
      <c r="F63" s="7" t="n">
        <v>20800</v>
      </c>
      <c r="G63" s="7" t="n">
        <v>65000</v>
      </c>
      <c r="H63" s="7" t="n">
        <v>0</v>
      </c>
      <c r="I63" s="7" t="n">
        <v>25000</v>
      </c>
      <c r="J63" s="7" t="n">
        <v>365</v>
      </c>
      <c r="K63" s="7" t="n">
        <v>600000</v>
      </c>
      <c r="L63" s="7" t="n">
        <v>7</v>
      </c>
      <c r="M63" s="7" t="n">
        <v>7.46</v>
      </c>
      <c r="N63" s="7" t="n">
        <v>0.7</v>
      </c>
      <c r="O63" s="8">
        <f>IF(G63&gt;0, (F63/G63)*100, 0)</f>
        <v/>
      </c>
      <c r="P63" s="8">
        <f>IF((G63+H63)&gt;0, (F63/(G63+H63))*100, 0)</f>
        <v/>
      </c>
      <c r="Q63" s="8">
        <f>IF(J63&gt;0, F63/J63, 0)</f>
        <v/>
      </c>
      <c r="R63" s="8">
        <f>MAX(0, MIN(35, IF((F63+E63)&lt;&gt;0, (E63/(F63+E63))*100, 0)))</f>
        <v/>
      </c>
      <c r="S63" s="8">
        <f>C63*(1-(R63/100))</f>
        <v/>
      </c>
      <c r="T63" s="8">
        <f>(G63+H63)-I63</f>
        <v/>
      </c>
      <c r="U63" s="8">
        <f>L63+(N63*M63)</f>
        <v/>
      </c>
      <c r="V63" s="8">
        <f>IF(H63&gt;0, (D63/H63)*(1-(R63/100))*100, 0)</f>
        <v/>
      </c>
      <c r="W63" s="8">
        <f>IF((K63+H63)&gt;0, ((K63/(K63+H63))*U63) + ((H63/(K63+H63))*V63), 0)</f>
        <v/>
      </c>
      <c r="X63" s="8">
        <f>S63-((W63/100)*T63)</f>
        <v/>
      </c>
    </row>
    <row r="64">
      <c r="A64" s="3" t="inlineStr">
        <is>
          <t>Tata Consultancy Services Ltd</t>
        </is>
      </c>
      <c r="B64" s="3" t="inlineStr">
        <is>
          <t>FY18</t>
        </is>
      </c>
      <c r="C64" s="4" t="n">
        <v>32000</v>
      </c>
      <c r="D64" s="4" t="n">
        <v>300</v>
      </c>
      <c r="E64" s="4" t="n">
        <v>8000</v>
      </c>
      <c r="F64" s="4" t="n">
        <v>23700</v>
      </c>
      <c r="G64" s="4" t="n">
        <v>70000</v>
      </c>
      <c r="H64" s="4" t="n">
        <v>0</v>
      </c>
      <c r="I64" s="4" t="n">
        <v>28000</v>
      </c>
      <c r="J64" s="4" t="n">
        <v>365</v>
      </c>
      <c r="K64" s="4" t="n">
        <v>700000</v>
      </c>
      <c r="L64" s="4" t="n">
        <v>7.2</v>
      </c>
      <c r="M64" s="4" t="n">
        <v>7.46</v>
      </c>
      <c r="N64" s="4" t="n">
        <v>0.7</v>
      </c>
      <c r="O64" s="5">
        <f>IF(G64&gt;0, (F64/G64)*100, 0)</f>
        <v/>
      </c>
      <c r="P64" s="5">
        <f>IF((G64+H64)&gt;0, (F64/(G64+H64))*100, 0)</f>
        <v/>
      </c>
      <c r="Q64" s="5">
        <f>IF(J64&gt;0, F64/J64, 0)</f>
        <v/>
      </c>
      <c r="R64" s="5">
        <f>MAX(0, MIN(35, IF((F64+E64)&lt;&gt;0, (E64/(F64+E64))*100, 0)))</f>
        <v/>
      </c>
      <c r="S64" s="5">
        <f>C64*(1-(R64/100))</f>
        <v/>
      </c>
      <c r="T64" s="5">
        <f>(G64+H64)-I64</f>
        <v/>
      </c>
      <c r="U64" s="5">
        <f>L64+(N64*M64)</f>
        <v/>
      </c>
      <c r="V64" s="5">
        <f>IF(H64&gt;0, (D64/H64)*(1-(R64/100))*100, 0)</f>
        <v/>
      </c>
      <c r="W64" s="5">
        <f>IF((K64+H64)&gt;0, ((K64/(K64+H64))*U64) + ((H64/(K64+H64))*V64), 0)</f>
        <v/>
      </c>
      <c r="X64" s="5">
        <f>S64-((W64/100)*T64)</f>
        <v/>
      </c>
    </row>
    <row r="65">
      <c r="A65" s="6" t="inlineStr">
        <is>
          <t>Tata Consultancy Services Ltd</t>
        </is>
      </c>
      <c r="B65" s="6" t="inlineStr">
        <is>
          <t>FY19</t>
        </is>
      </c>
      <c r="C65" s="7" t="n">
        <v>35000</v>
      </c>
      <c r="D65" s="7" t="n">
        <v>400</v>
      </c>
      <c r="E65" s="7" t="n">
        <v>9000</v>
      </c>
      <c r="F65" s="7" t="n">
        <v>25600</v>
      </c>
      <c r="G65" s="7" t="n">
        <v>75000</v>
      </c>
      <c r="H65" s="7" t="n">
        <v>0</v>
      </c>
      <c r="I65" s="7" t="n">
        <v>32000</v>
      </c>
      <c r="J65" s="7" t="n">
        <v>365</v>
      </c>
      <c r="K65" s="7" t="n">
        <v>800000</v>
      </c>
      <c r="L65" s="7" t="n">
        <v>7.4</v>
      </c>
      <c r="M65" s="7" t="n">
        <v>7.46</v>
      </c>
      <c r="N65" s="7" t="n">
        <v>0.7</v>
      </c>
      <c r="O65" s="8">
        <f>IF(G65&gt;0, (F65/G65)*100, 0)</f>
        <v/>
      </c>
      <c r="P65" s="8">
        <f>IF((G65+H65)&gt;0, (F65/(G65+H65))*100, 0)</f>
        <v/>
      </c>
      <c r="Q65" s="8">
        <f>IF(J65&gt;0, F65/J65, 0)</f>
        <v/>
      </c>
      <c r="R65" s="8">
        <f>MAX(0, MIN(35, IF((F65+E65)&lt;&gt;0, (E65/(F65+E65))*100, 0)))</f>
        <v/>
      </c>
      <c r="S65" s="8">
        <f>C65*(1-(R65/100))</f>
        <v/>
      </c>
      <c r="T65" s="8">
        <f>(G65+H65)-I65</f>
        <v/>
      </c>
      <c r="U65" s="8">
        <f>L65+(N65*M65)</f>
        <v/>
      </c>
      <c r="V65" s="8">
        <f>IF(H65&gt;0, (D65/H65)*(1-(R65/100))*100, 0)</f>
        <v/>
      </c>
      <c r="W65" s="8">
        <f>IF((K65+H65)&gt;0, ((K65/(K65+H65))*U65) + ((H65/(K65+H65))*V65), 0)</f>
        <v/>
      </c>
      <c r="X65" s="8">
        <f>S65-((W65/100)*T65)</f>
        <v/>
      </c>
    </row>
    <row r="66">
      <c r="A66" s="3" t="inlineStr">
        <is>
          <t>Tata Consultancy Services Ltd</t>
        </is>
      </c>
      <c r="B66" s="3" t="inlineStr">
        <is>
          <t>FY20</t>
        </is>
      </c>
      <c r="C66" s="4" t="n">
        <v>38000</v>
      </c>
      <c r="D66" s="4" t="n">
        <v>500</v>
      </c>
      <c r="E66" s="4" t="n">
        <v>10000</v>
      </c>
      <c r="F66" s="4" t="n">
        <v>27500</v>
      </c>
      <c r="G66" s="4" t="n">
        <v>80000</v>
      </c>
      <c r="H66" s="4" t="n">
        <v>0</v>
      </c>
      <c r="I66" s="4" t="n">
        <v>35000</v>
      </c>
      <c r="J66" s="4" t="n">
        <v>365</v>
      </c>
      <c r="K66" s="4" t="n">
        <v>900000</v>
      </c>
      <c r="L66" s="4" t="n">
        <v>6</v>
      </c>
      <c r="M66" s="4" t="n">
        <v>7.46</v>
      </c>
      <c r="N66" s="4" t="n">
        <v>0.7</v>
      </c>
      <c r="O66" s="5">
        <f>IF(G66&gt;0, (F66/G66)*100, 0)</f>
        <v/>
      </c>
      <c r="P66" s="5">
        <f>IF((G66+H66)&gt;0, (F66/(G66+H66))*100, 0)</f>
        <v/>
      </c>
      <c r="Q66" s="5">
        <f>IF(J66&gt;0, F66/J66, 0)</f>
        <v/>
      </c>
      <c r="R66" s="5">
        <f>MAX(0, MIN(35, IF((F66+E66)&lt;&gt;0, (E66/(F66+E66))*100, 0)))</f>
        <v/>
      </c>
      <c r="S66" s="5">
        <f>C66*(1-(R66/100))</f>
        <v/>
      </c>
      <c r="T66" s="5">
        <f>(G66+H66)-I66</f>
        <v/>
      </c>
      <c r="U66" s="5">
        <f>L66+(N66*M66)</f>
        <v/>
      </c>
      <c r="V66" s="5">
        <f>IF(H66&gt;0, (D66/H66)*(1-(R66/100))*100, 0)</f>
        <v/>
      </c>
      <c r="W66" s="5">
        <f>IF((K66+H66)&gt;0, ((K66/(K66+H66))*U66) + ((H66/(K66+H66))*V66), 0)</f>
        <v/>
      </c>
      <c r="X66" s="5">
        <f>S66-((W66/100)*T66)</f>
        <v/>
      </c>
    </row>
    <row r="67">
      <c r="A67" s="6" t="inlineStr">
        <is>
          <t>Tata Consultancy Services Ltd</t>
        </is>
      </c>
      <c r="B67" s="6" t="inlineStr">
        <is>
          <t>FY21</t>
        </is>
      </c>
      <c r="C67" s="7" t="n">
        <v>42000</v>
      </c>
      <c r="D67" s="7" t="n">
        <v>600</v>
      </c>
      <c r="E67" s="7" t="n">
        <v>11000</v>
      </c>
      <c r="F67" s="7" t="n">
        <v>32400</v>
      </c>
      <c r="G67" s="7" t="n">
        <v>86000</v>
      </c>
      <c r="H67" s="7" t="n">
        <v>0</v>
      </c>
      <c r="I67" s="7" t="n">
        <v>40000</v>
      </c>
      <c r="J67" s="7" t="n">
        <v>365</v>
      </c>
      <c r="K67" s="7" t="n">
        <v>1100000</v>
      </c>
      <c r="L67" s="7" t="n">
        <v>5.5</v>
      </c>
      <c r="M67" s="7" t="n">
        <v>7.46</v>
      </c>
      <c r="N67" s="7" t="n">
        <v>0.7</v>
      </c>
      <c r="O67" s="8">
        <f>IF(G67&gt;0, (F67/G67)*100, 0)</f>
        <v/>
      </c>
      <c r="P67" s="8">
        <f>IF((G67+H67)&gt;0, (F67/(G67+H67))*100, 0)</f>
        <v/>
      </c>
      <c r="Q67" s="8">
        <f>IF(J67&gt;0, F67/J67, 0)</f>
        <v/>
      </c>
      <c r="R67" s="8">
        <f>MAX(0, MIN(35, IF((F67+E67)&lt;&gt;0, (E67/(F67+E67))*100, 0)))</f>
        <v/>
      </c>
      <c r="S67" s="8">
        <f>C67*(1-(R67/100))</f>
        <v/>
      </c>
      <c r="T67" s="8">
        <f>(G67+H67)-I67</f>
        <v/>
      </c>
      <c r="U67" s="8">
        <f>L67+(N67*M67)</f>
        <v/>
      </c>
      <c r="V67" s="8">
        <f>IF(H67&gt;0, (D67/H67)*(1-(R67/100))*100, 0)</f>
        <v/>
      </c>
      <c r="W67" s="8">
        <f>IF((K67+H67)&gt;0, ((K67/(K67+H67))*U67) + ((H67/(K67+H67))*V67), 0)</f>
        <v/>
      </c>
      <c r="X67" s="8">
        <f>S67-((W67/100)*T67)</f>
        <v/>
      </c>
    </row>
    <row r="68">
      <c r="A68" s="3" t="inlineStr">
        <is>
          <t>Tata Consultancy Services Ltd</t>
        </is>
      </c>
      <c r="B68" s="3" t="inlineStr">
        <is>
          <t>FY22</t>
        </is>
      </c>
      <c r="C68" s="4" t="n">
        <v>48000</v>
      </c>
      <c r="D68" s="4" t="n">
        <v>650</v>
      </c>
      <c r="E68" s="4" t="n">
        <v>12500</v>
      </c>
      <c r="F68" s="4" t="n">
        <v>38300</v>
      </c>
      <c r="G68" s="4" t="n">
        <v>89000</v>
      </c>
      <c r="H68" s="4" t="n">
        <v>0</v>
      </c>
      <c r="I68" s="4" t="n">
        <v>45000</v>
      </c>
      <c r="J68" s="4" t="n">
        <v>365</v>
      </c>
      <c r="K68" s="4" t="n">
        <v>1300000</v>
      </c>
      <c r="L68" s="4" t="n">
        <v>6</v>
      </c>
      <c r="M68" s="4" t="n">
        <v>7.46</v>
      </c>
      <c r="N68" s="4" t="n">
        <v>0.7</v>
      </c>
      <c r="O68" s="5">
        <f>IF(G68&gt;0, (F68/G68)*100, 0)</f>
        <v/>
      </c>
      <c r="P68" s="5">
        <f>IF((G68+H68)&gt;0, (F68/(G68+H68))*100, 0)</f>
        <v/>
      </c>
      <c r="Q68" s="5">
        <f>IF(J68&gt;0, F68/J68, 0)</f>
        <v/>
      </c>
      <c r="R68" s="5">
        <f>MAX(0, MIN(35, IF((F68+E68)&lt;&gt;0, (E68/(F68+E68))*100, 0)))</f>
        <v/>
      </c>
      <c r="S68" s="5">
        <f>C68*(1-(R68/100))</f>
        <v/>
      </c>
      <c r="T68" s="5">
        <f>(G68+H68)-I68</f>
        <v/>
      </c>
      <c r="U68" s="5">
        <f>L68+(N68*M68)</f>
        <v/>
      </c>
      <c r="V68" s="5">
        <f>IF(H68&gt;0, (D68/H68)*(1-(R68/100))*100, 0)</f>
        <v/>
      </c>
      <c r="W68" s="5">
        <f>IF((K68+H68)&gt;0, ((K68/(K68+H68))*U68) + ((H68/(K68+H68))*V68), 0)</f>
        <v/>
      </c>
      <c r="X68" s="5">
        <f>S68-((W68/100)*T68)</f>
        <v/>
      </c>
    </row>
    <row r="69">
      <c r="A69" s="6" t="inlineStr">
        <is>
          <t>Tata Consultancy Services Ltd</t>
        </is>
      </c>
      <c r="B69" s="6" t="inlineStr">
        <is>
          <t>FY23</t>
        </is>
      </c>
      <c r="C69" s="7" t="n">
        <v>54000</v>
      </c>
      <c r="D69" s="7" t="n">
        <v>700</v>
      </c>
      <c r="E69" s="7" t="n">
        <v>14000</v>
      </c>
      <c r="F69" s="7" t="n">
        <v>42100</v>
      </c>
      <c r="G69" s="7" t="n">
        <v>90000</v>
      </c>
      <c r="H69" s="7" t="n">
        <v>0</v>
      </c>
      <c r="I69" s="7" t="n">
        <v>50000</v>
      </c>
      <c r="J69" s="7" t="n">
        <v>365</v>
      </c>
      <c r="K69" s="7" t="n">
        <v>1200000</v>
      </c>
      <c r="L69" s="7" t="n">
        <v>6.5</v>
      </c>
      <c r="M69" s="7" t="n">
        <v>7.46</v>
      </c>
      <c r="N69" s="7" t="n">
        <v>0.7</v>
      </c>
      <c r="O69" s="8">
        <f>IF(G69&gt;0, (F69/G69)*100, 0)</f>
        <v/>
      </c>
      <c r="P69" s="8">
        <f>IF((G69+H69)&gt;0, (F69/(G69+H69))*100, 0)</f>
        <v/>
      </c>
      <c r="Q69" s="8">
        <f>IF(J69&gt;0, F69/J69, 0)</f>
        <v/>
      </c>
      <c r="R69" s="8">
        <f>MAX(0, MIN(35, IF((F69+E69)&lt;&gt;0, (E69/(F69+E69))*100, 0)))</f>
        <v/>
      </c>
      <c r="S69" s="8">
        <f>C69*(1-(R69/100))</f>
        <v/>
      </c>
      <c r="T69" s="8">
        <f>(G69+H69)-I69</f>
        <v/>
      </c>
      <c r="U69" s="8">
        <f>L69+(N69*M69)</f>
        <v/>
      </c>
      <c r="V69" s="8">
        <f>IF(H69&gt;0, (D69/H69)*(1-(R69/100))*100, 0)</f>
        <v/>
      </c>
      <c r="W69" s="8">
        <f>IF((K69+H69)&gt;0, ((K69/(K69+H69))*U69) + ((H69/(K69+H69))*V69), 0)</f>
        <v/>
      </c>
      <c r="X69" s="8">
        <f>S69-((W69/100)*T69)</f>
        <v/>
      </c>
    </row>
    <row r="70">
      <c r="A70" s="3" t="inlineStr">
        <is>
          <t>Tata Consultancy Services Ltd</t>
        </is>
      </c>
      <c r="B70" s="3" t="inlineStr">
        <is>
          <t>FY24</t>
        </is>
      </c>
      <c r="C70" s="4" t="n">
        <v>60000</v>
      </c>
      <c r="D70" s="4" t="n">
        <v>750</v>
      </c>
      <c r="E70" s="4" t="n">
        <v>15500</v>
      </c>
      <c r="F70" s="4" t="n">
        <v>46000</v>
      </c>
      <c r="G70" s="4" t="n">
        <v>92000</v>
      </c>
      <c r="H70" s="4" t="n">
        <v>0</v>
      </c>
      <c r="I70" s="4" t="n">
        <v>49000</v>
      </c>
      <c r="J70" s="4" t="n">
        <v>365</v>
      </c>
      <c r="K70" s="4" t="n">
        <v>1350000</v>
      </c>
      <c r="L70" s="4" t="n">
        <v>7</v>
      </c>
      <c r="M70" s="4" t="n">
        <v>7.46</v>
      </c>
      <c r="N70" s="4" t="n">
        <v>0.7</v>
      </c>
      <c r="O70" s="5">
        <f>IF(G70&gt;0, (F70/G70)*100, 0)</f>
        <v/>
      </c>
      <c r="P70" s="5">
        <f>IF((G70+H70)&gt;0, (F70/(G70+H70))*100, 0)</f>
        <v/>
      </c>
      <c r="Q70" s="5">
        <f>IF(J70&gt;0, F70/J70, 0)</f>
        <v/>
      </c>
      <c r="R70" s="5">
        <f>MAX(0, MIN(35, IF((F70+E70)&lt;&gt;0, (E70/(F70+E70))*100, 0)))</f>
        <v/>
      </c>
      <c r="S70" s="5">
        <f>C70*(1-(R70/100))</f>
        <v/>
      </c>
      <c r="T70" s="5">
        <f>(G70+H70)-I70</f>
        <v/>
      </c>
      <c r="U70" s="5">
        <f>L70+(N70*M70)</f>
        <v/>
      </c>
      <c r="V70" s="5">
        <f>IF(H70&gt;0, (D70/H70)*(1-(R70/100))*100, 0)</f>
        <v/>
      </c>
      <c r="W70" s="5">
        <f>IF((K70+H70)&gt;0, ((K70/(K70+H70))*U70) + ((H70/(K70+H70))*V70), 0)</f>
        <v/>
      </c>
      <c r="X70" s="5">
        <f>S70-((W70/100)*T70)</f>
        <v/>
      </c>
    </row>
    <row r="71">
      <c r="A71" s="6" t="inlineStr">
        <is>
          <t>Tata Consultancy Services Ltd</t>
        </is>
      </c>
      <c r="B71" s="6" t="inlineStr">
        <is>
          <t>FY25</t>
        </is>
      </c>
      <c r="C71" s="7" t="n">
        <v>67407</v>
      </c>
      <c r="D71" s="7" t="n">
        <v>796</v>
      </c>
      <c r="E71" s="7" t="n">
        <v>16534</v>
      </c>
      <c r="F71" s="7" t="n">
        <v>48797</v>
      </c>
      <c r="G71" s="7" t="n">
        <v>94756</v>
      </c>
      <c r="H71" s="7" t="n">
        <v>0</v>
      </c>
      <c r="I71" s="7" t="n">
        <v>48908</v>
      </c>
      <c r="J71" s="7" t="n">
        <v>365</v>
      </c>
      <c r="K71" s="7" t="n">
        <v>748600</v>
      </c>
      <c r="L71" s="7" t="n">
        <v>6.67</v>
      </c>
      <c r="M71" s="7" t="n">
        <v>7.46</v>
      </c>
      <c r="N71" s="7" t="n">
        <v>0.7</v>
      </c>
      <c r="O71" s="8">
        <f>IF(G71&gt;0, (F71/G71)*100, 0)</f>
        <v/>
      </c>
      <c r="P71" s="8">
        <f>IF((G71+H71)&gt;0, (F71/(G71+H71))*100, 0)</f>
        <v/>
      </c>
      <c r="Q71" s="8">
        <f>IF(J71&gt;0, F71/J71, 0)</f>
        <v/>
      </c>
      <c r="R71" s="8">
        <f>MAX(0, MIN(35, IF((F71+E71)&lt;&gt;0, (E71/(F71+E71))*100, 0)))</f>
        <v/>
      </c>
      <c r="S71" s="8">
        <f>C71*(1-(R71/100))</f>
        <v/>
      </c>
      <c r="T71" s="8">
        <f>(G71+H71)-I71</f>
        <v/>
      </c>
      <c r="U71" s="8">
        <f>L71+(N71*M71)</f>
        <v/>
      </c>
      <c r="V71" s="8">
        <f>IF(H71&gt;0, (D71/H71)*(1-(R71/100))*100, 0)</f>
        <v/>
      </c>
      <c r="W71" s="8">
        <f>IF((K71+H71)&gt;0, ((K71/(K71+H71))*U71) + ((H71/(K71+H71))*V71), 0)</f>
        <v/>
      </c>
      <c r="X71" s="8">
        <f>S71-((W71/100)*T71)</f>
        <v/>
      </c>
    </row>
    <row r="72">
      <c r="A72" s="3" t="inlineStr">
        <is>
          <t>HCL Technologies Ltd</t>
        </is>
      </c>
      <c r="B72" s="3" t="inlineStr">
        <is>
          <t>FY16</t>
        </is>
      </c>
      <c r="C72" s="4" t="n">
        <v>9000</v>
      </c>
      <c r="D72" s="4" t="n">
        <v>200</v>
      </c>
      <c r="E72" s="4" t="n">
        <v>2000</v>
      </c>
      <c r="F72" s="4" t="n">
        <v>6800</v>
      </c>
      <c r="G72" s="4" t="n">
        <v>35000</v>
      </c>
      <c r="H72" s="4" t="n">
        <v>1500</v>
      </c>
      <c r="I72" s="4" t="n">
        <v>5000</v>
      </c>
      <c r="J72" s="4" t="n">
        <v>271</v>
      </c>
      <c r="K72" s="4" t="n">
        <v>100000</v>
      </c>
      <c r="L72" s="4" t="n">
        <v>7.5</v>
      </c>
      <c r="M72" s="4" t="n">
        <v>7.46</v>
      </c>
      <c r="N72" s="4" t="n">
        <v>0.85</v>
      </c>
      <c r="O72" s="5">
        <f>IF(G72&gt;0, (F72/G72)*100, 0)</f>
        <v/>
      </c>
      <c r="P72" s="5">
        <f>IF((G72+H72)&gt;0, (F72/(G72+H72))*100, 0)</f>
        <v/>
      </c>
      <c r="Q72" s="5">
        <f>IF(J72&gt;0, F72/J72, 0)</f>
        <v/>
      </c>
      <c r="R72" s="5">
        <f>MAX(0, MIN(35, IF((F72+E72)&lt;&gt;0, (E72/(F72+E72))*100, 0)))</f>
        <v/>
      </c>
      <c r="S72" s="5">
        <f>C72*(1-(R72/100))</f>
        <v/>
      </c>
      <c r="T72" s="5">
        <f>(G72+H72)-I72</f>
        <v/>
      </c>
      <c r="U72" s="5">
        <f>L72+(N72*M72)</f>
        <v/>
      </c>
      <c r="V72" s="5">
        <f>IF(H72&gt;0, (D72/H72)*(1-(R72/100))*100, 0)</f>
        <v/>
      </c>
      <c r="W72" s="5">
        <f>IF((K72+H72)&gt;0, ((K72/(K72+H72))*U72) + ((H72/(K72+H72))*V72), 0)</f>
        <v/>
      </c>
      <c r="X72" s="5">
        <f>S72-((W72/100)*T72)</f>
        <v/>
      </c>
    </row>
    <row r="73">
      <c r="A73" s="6" t="inlineStr">
        <is>
          <t>HCL Technologies Ltd</t>
        </is>
      </c>
      <c r="B73" s="6" t="inlineStr">
        <is>
          <t>FY17</t>
        </is>
      </c>
      <c r="C73" s="7" t="n">
        <v>10000</v>
      </c>
      <c r="D73" s="7" t="n">
        <v>250</v>
      </c>
      <c r="E73" s="7" t="n">
        <v>2200</v>
      </c>
      <c r="F73" s="7" t="n">
        <v>7550</v>
      </c>
      <c r="G73" s="7" t="n">
        <v>40000</v>
      </c>
      <c r="H73" s="7" t="n">
        <v>2000</v>
      </c>
      <c r="I73" s="7" t="n">
        <v>7000</v>
      </c>
      <c r="J73" s="7" t="n">
        <v>271</v>
      </c>
      <c r="K73" s="7" t="n">
        <v>120000</v>
      </c>
      <c r="L73" s="7" t="n">
        <v>7</v>
      </c>
      <c r="M73" s="7" t="n">
        <v>7.46</v>
      </c>
      <c r="N73" s="7" t="n">
        <v>0.85</v>
      </c>
      <c r="O73" s="8">
        <f>IF(G73&gt;0, (F73/G73)*100, 0)</f>
        <v/>
      </c>
      <c r="P73" s="8">
        <f>IF((G73+H73)&gt;0, (F73/(G73+H73))*100, 0)</f>
        <v/>
      </c>
      <c r="Q73" s="8">
        <f>IF(J73&gt;0, F73/J73, 0)</f>
        <v/>
      </c>
      <c r="R73" s="8">
        <f>MAX(0, MIN(35, IF((F73+E73)&lt;&gt;0, (E73/(F73+E73))*100, 0)))</f>
        <v/>
      </c>
      <c r="S73" s="8">
        <f>C73*(1-(R73/100))</f>
        <v/>
      </c>
      <c r="T73" s="8">
        <f>(G73+H73)-I73</f>
        <v/>
      </c>
      <c r="U73" s="8">
        <f>L73+(N73*M73)</f>
        <v/>
      </c>
      <c r="V73" s="8">
        <f>IF(H73&gt;0, (D73/H73)*(1-(R73/100))*100, 0)</f>
        <v/>
      </c>
      <c r="W73" s="8">
        <f>IF((K73+H73)&gt;0, ((K73/(K73+H73))*U73) + ((H73/(K73+H73))*V73), 0)</f>
        <v/>
      </c>
      <c r="X73" s="8">
        <f>S73-((W73/100)*T73)</f>
        <v/>
      </c>
    </row>
    <row r="74">
      <c r="A74" s="3" t="inlineStr">
        <is>
          <t>HCL Technologies Ltd</t>
        </is>
      </c>
      <c r="B74" s="3" t="inlineStr">
        <is>
          <t>FY18</t>
        </is>
      </c>
      <c r="C74" s="4" t="n">
        <v>11500</v>
      </c>
      <c r="D74" s="4" t="n">
        <v>300</v>
      </c>
      <c r="E74" s="4" t="n">
        <v>2500</v>
      </c>
      <c r="F74" s="4" t="n">
        <v>8700</v>
      </c>
      <c r="G74" s="4" t="n">
        <v>45000</v>
      </c>
      <c r="H74" s="4" t="n">
        <v>2500</v>
      </c>
      <c r="I74" s="4" t="n">
        <v>9000</v>
      </c>
      <c r="J74" s="4" t="n">
        <v>271</v>
      </c>
      <c r="K74" s="4" t="n">
        <v>140000</v>
      </c>
      <c r="L74" s="4" t="n">
        <v>7.2</v>
      </c>
      <c r="M74" s="4" t="n">
        <v>7.46</v>
      </c>
      <c r="N74" s="4" t="n">
        <v>0.85</v>
      </c>
      <c r="O74" s="5">
        <f>IF(G74&gt;0, (F74/G74)*100, 0)</f>
        <v/>
      </c>
      <c r="P74" s="5">
        <f>IF((G74+H74)&gt;0, (F74/(G74+H74))*100, 0)</f>
        <v/>
      </c>
      <c r="Q74" s="5">
        <f>IF(J74&gt;0, F74/J74, 0)</f>
        <v/>
      </c>
      <c r="R74" s="5">
        <f>MAX(0, MIN(35, IF((F74+E74)&lt;&gt;0, (E74/(F74+E74))*100, 0)))</f>
        <v/>
      </c>
      <c r="S74" s="5">
        <f>C74*(1-(R74/100))</f>
        <v/>
      </c>
      <c r="T74" s="5">
        <f>(G74+H74)-I74</f>
        <v/>
      </c>
      <c r="U74" s="5">
        <f>L74+(N74*M74)</f>
        <v/>
      </c>
      <c r="V74" s="5">
        <f>IF(H74&gt;0, (D74/H74)*(1-(R74/100))*100, 0)</f>
        <v/>
      </c>
      <c r="W74" s="5">
        <f>IF((K74+H74)&gt;0, ((K74/(K74+H74))*U74) + ((H74/(K74+H74))*V74), 0)</f>
        <v/>
      </c>
      <c r="X74" s="5">
        <f>S74-((W74/100)*T74)</f>
        <v/>
      </c>
    </row>
    <row r="75">
      <c r="A75" s="6" t="inlineStr">
        <is>
          <t>HCL Technologies Ltd</t>
        </is>
      </c>
      <c r="B75" s="6" t="inlineStr">
        <is>
          <t>FY19</t>
        </is>
      </c>
      <c r="C75" s="7" t="n">
        <v>13000</v>
      </c>
      <c r="D75" s="7" t="n">
        <v>350</v>
      </c>
      <c r="E75" s="7" t="n">
        <v>2800</v>
      </c>
      <c r="F75" s="7" t="n">
        <v>9850</v>
      </c>
      <c r="G75" s="7" t="n">
        <v>50000</v>
      </c>
      <c r="H75" s="7" t="n">
        <v>3000</v>
      </c>
      <c r="I75" s="7" t="n">
        <v>11000</v>
      </c>
      <c r="J75" s="7" t="n">
        <v>271</v>
      </c>
      <c r="K75" s="7" t="n">
        <v>160000</v>
      </c>
      <c r="L75" s="7" t="n">
        <v>7.4</v>
      </c>
      <c r="M75" s="7" t="n">
        <v>7.46</v>
      </c>
      <c r="N75" s="7" t="n">
        <v>0.85</v>
      </c>
      <c r="O75" s="8">
        <f>IF(G75&gt;0, (F75/G75)*100, 0)</f>
        <v/>
      </c>
      <c r="P75" s="8">
        <f>IF((G75+H75)&gt;0, (F75/(G75+H75))*100, 0)</f>
        <v/>
      </c>
      <c r="Q75" s="8">
        <f>IF(J75&gt;0, F75/J75, 0)</f>
        <v/>
      </c>
      <c r="R75" s="8">
        <f>MAX(0, MIN(35, IF((F75+E75)&lt;&gt;0, (E75/(F75+E75))*100, 0)))</f>
        <v/>
      </c>
      <c r="S75" s="8">
        <f>C75*(1-(R75/100))</f>
        <v/>
      </c>
      <c r="T75" s="8">
        <f>(G75+H75)-I75</f>
        <v/>
      </c>
      <c r="U75" s="8">
        <f>L75+(N75*M75)</f>
        <v/>
      </c>
      <c r="V75" s="8">
        <f>IF(H75&gt;0, (D75/H75)*(1-(R75/100))*100, 0)</f>
        <v/>
      </c>
      <c r="W75" s="8">
        <f>IF((K75+H75)&gt;0, ((K75/(K75+H75))*U75) + ((H75/(K75+H75))*V75), 0)</f>
        <v/>
      </c>
      <c r="X75" s="8">
        <f>S75-((W75/100)*T75)</f>
        <v/>
      </c>
    </row>
    <row r="76">
      <c r="A76" s="3" t="inlineStr">
        <is>
          <t>HCL Technologies Ltd</t>
        </is>
      </c>
      <c r="B76" s="3" t="inlineStr">
        <is>
          <t>FY20</t>
        </is>
      </c>
      <c r="C76" s="4" t="n">
        <v>14500</v>
      </c>
      <c r="D76" s="4" t="n">
        <v>400</v>
      </c>
      <c r="E76" s="4" t="n">
        <v>3100</v>
      </c>
      <c r="F76" s="4" t="n">
        <v>11000</v>
      </c>
      <c r="G76" s="4" t="n">
        <v>55000</v>
      </c>
      <c r="H76" s="4" t="n">
        <v>3500</v>
      </c>
      <c r="I76" s="4" t="n">
        <v>13000</v>
      </c>
      <c r="J76" s="4" t="n">
        <v>271</v>
      </c>
      <c r="K76" s="4" t="n">
        <v>180000</v>
      </c>
      <c r="L76" s="4" t="n">
        <v>6</v>
      </c>
      <c r="M76" s="4" t="n">
        <v>7.46</v>
      </c>
      <c r="N76" s="4" t="n">
        <v>0.85</v>
      </c>
      <c r="O76" s="5">
        <f>IF(G76&gt;0, (F76/G76)*100, 0)</f>
        <v/>
      </c>
      <c r="P76" s="5">
        <f>IF((G76+H76)&gt;0, (F76/(G76+H76))*100, 0)</f>
        <v/>
      </c>
      <c r="Q76" s="5">
        <f>IF(J76&gt;0, F76/J76, 0)</f>
        <v/>
      </c>
      <c r="R76" s="5">
        <f>MAX(0, MIN(35, IF((F76+E76)&lt;&gt;0, (E76/(F76+E76))*100, 0)))</f>
        <v/>
      </c>
      <c r="S76" s="5">
        <f>C76*(1-(R76/100))</f>
        <v/>
      </c>
      <c r="T76" s="5">
        <f>(G76+H76)-I76</f>
        <v/>
      </c>
      <c r="U76" s="5">
        <f>L76+(N76*M76)</f>
        <v/>
      </c>
      <c r="V76" s="5">
        <f>IF(H76&gt;0, (D76/H76)*(1-(R76/100))*100, 0)</f>
        <v/>
      </c>
      <c r="W76" s="5">
        <f>IF((K76+H76)&gt;0, ((K76/(K76+H76))*U76) + ((H76/(K76+H76))*V76), 0)</f>
        <v/>
      </c>
      <c r="X76" s="5">
        <f>S76-((W76/100)*T76)</f>
        <v/>
      </c>
    </row>
    <row r="77">
      <c r="A77" s="6" t="inlineStr">
        <is>
          <t>HCL Technologies Ltd</t>
        </is>
      </c>
      <c r="B77" s="6" t="inlineStr">
        <is>
          <t>FY21</t>
        </is>
      </c>
      <c r="C77" s="7" t="n">
        <v>16000</v>
      </c>
      <c r="D77" s="7" t="n">
        <v>500</v>
      </c>
      <c r="E77" s="7" t="n">
        <v>3500</v>
      </c>
      <c r="F77" s="7" t="n">
        <v>11100</v>
      </c>
      <c r="G77" s="7" t="n">
        <v>59000</v>
      </c>
      <c r="H77" s="7" t="n">
        <v>4000</v>
      </c>
      <c r="I77" s="7" t="n">
        <v>15000</v>
      </c>
      <c r="J77" s="7" t="n">
        <v>271</v>
      </c>
      <c r="K77" s="7" t="n">
        <v>250000</v>
      </c>
      <c r="L77" s="7" t="n">
        <v>5.5</v>
      </c>
      <c r="M77" s="7" t="n">
        <v>7.46</v>
      </c>
      <c r="N77" s="7" t="n">
        <v>0.85</v>
      </c>
      <c r="O77" s="8">
        <f>IF(G77&gt;0, (F77/G77)*100, 0)</f>
        <v/>
      </c>
      <c r="P77" s="8">
        <f>IF((G77+H77)&gt;0, (F77/(G77+H77))*100, 0)</f>
        <v/>
      </c>
      <c r="Q77" s="8">
        <f>IF(J77&gt;0, F77/J77, 0)</f>
        <v/>
      </c>
      <c r="R77" s="8">
        <f>MAX(0, MIN(35, IF((F77+E77)&lt;&gt;0, (E77/(F77+E77))*100, 0)))</f>
        <v/>
      </c>
      <c r="S77" s="8">
        <f>C77*(1-(R77/100))</f>
        <v/>
      </c>
      <c r="T77" s="8">
        <f>(G77+H77)-I77</f>
        <v/>
      </c>
      <c r="U77" s="8">
        <f>L77+(N77*M77)</f>
        <v/>
      </c>
      <c r="V77" s="8">
        <f>IF(H77&gt;0, (D77/H77)*(1-(R77/100))*100, 0)</f>
        <v/>
      </c>
      <c r="W77" s="8">
        <f>IF((K77+H77)&gt;0, ((K77/(K77+H77))*U77) + ((H77/(K77+H77))*V77), 0)</f>
        <v/>
      </c>
      <c r="X77" s="8">
        <f>S77-((W77/100)*T77)</f>
        <v/>
      </c>
    </row>
    <row r="78">
      <c r="A78" s="3" t="inlineStr">
        <is>
          <t>HCL Technologies Ltd</t>
        </is>
      </c>
      <c r="B78" s="3" t="inlineStr">
        <is>
          <t>FY22</t>
        </is>
      </c>
      <c r="C78" s="4" t="n">
        <v>18000</v>
      </c>
      <c r="D78" s="4" t="n">
        <v>600</v>
      </c>
      <c r="E78" s="4" t="n">
        <v>4000</v>
      </c>
      <c r="F78" s="4" t="n">
        <v>13500</v>
      </c>
      <c r="G78" s="4" t="n">
        <v>62000</v>
      </c>
      <c r="H78" s="4" t="n">
        <v>3000</v>
      </c>
      <c r="I78" s="4" t="n">
        <v>16000</v>
      </c>
      <c r="J78" s="4" t="n">
        <v>271</v>
      </c>
      <c r="K78" s="4" t="n">
        <v>280000</v>
      </c>
      <c r="L78" s="4" t="n">
        <v>6</v>
      </c>
      <c r="M78" s="4" t="n">
        <v>7.46</v>
      </c>
      <c r="N78" s="4" t="n">
        <v>0.85</v>
      </c>
      <c r="O78" s="5">
        <f>IF(G78&gt;0, (F78/G78)*100, 0)</f>
        <v/>
      </c>
      <c r="P78" s="5">
        <f>IF((G78+H78)&gt;0, (F78/(G78+H78))*100, 0)</f>
        <v/>
      </c>
      <c r="Q78" s="5">
        <f>IF(J78&gt;0, F78/J78, 0)</f>
        <v/>
      </c>
      <c r="R78" s="5">
        <f>MAX(0, MIN(35, IF((F78+E78)&lt;&gt;0, (E78/(F78+E78))*100, 0)))</f>
        <v/>
      </c>
      <c r="S78" s="5">
        <f>C78*(1-(R78/100))</f>
        <v/>
      </c>
      <c r="T78" s="5">
        <f>(G78+H78)-I78</f>
        <v/>
      </c>
      <c r="U78" s="5">
        <f>L78+(N78*M78)</f>
        <v/>
      </c>
      <c r="V78" s="5">
        <f>IF(H78&gt;0, (D78/H78)*(1-(R78/100))*100, 0)</f>
        <v/>
      </c>
      <c r="W78" s="5">
        <f>IF((K78+H78)&gt;0, ((K78/(K78+H78))*U78) + ((H78/(K78+H78))*V78), 0)</f>
        <v/>
      </c>
      <c r="X78" s="5">
        <f>S78-((W78/100)*T78)</f>
        <v/>
      </c>
    </row>
    <row r="79">
      <c r="A79" s="6" t="inlineStr">
        <is>
          <t>HCL Technologies Ltd</t>
        </is>
      </c>
      <c r="B79" s="6" t="inlineStr">
        <is>
          <t>FY23</t>
        </is>
      </c>
      <c r="C79" s="7" t="n">
        <v>21000</v>
      </c>
      <c r="D79" s="7" t="n">
        <v>700</v>
      </c>
      <c r="E79" s="7" t="n">
        <v>4500</v>
      </c>
      <c r="F79" s="7" t="n">
        <v>14800</v>
      </c>
      <c r="G79" s="7" t="n">
        <v>65000</v>
      </c>
      <c r="H79" s="7" t="n">
        <v>2000</v>
      </c>
      <c r="I79" s="7" t="n">
        <v>14000</v>
      </c>
      <c r="J79" s="7" t="n">
        <v>271</v>
      </c>
      <c r="K79" s="7" t="n">
        <v>290000</v>
      </c>
      <c r="L79" s="7" t="n">
        <v>6.5</v>
      </c>
      <c r="M79" s="7" t="n">
        <v>7.46</v>
      </c>
      <c r="N79" s="7" t="n">
        <v>0.85</v>
      </c>
      <c r="O79" s="8">
        <f>IF(G79&gt;0, (F79/G79)*100, 0)</f>
        <v/>
      </c>
      <c r="P79" s="8">
        <f>IF((G79+H79)&gt;0, (F79/(G79+H79))*100, 0)</f>
        <v/>
      </c>
      <c r="Q79" s="8">
        <f>IF(J79&gt;0, F79/J79, 0)</f>
        <v/>
      </c>
      <c r="R79" s="8">
        <f>MAX(0, MIN(35, IF((F79+E79)&lt;&gt;0, (E79/(F79+E79))*100, 0)))</f>
        <v/>
      </c>
      <c r="S79" s="8">
        <f>C79*(1-(R79/100))</f>
        <v/>
      </c>
      <c r="T79" s="8">
        <f>(G79+H79)-I79</f>
        <v/>
      </c>
      <c r="U79" s="8">
        <f>L79+(N79*M79)</f>
        <v/>
      </c>
      <c r="V79" s="8">
        <f>IF(H79&gt;0, (D79/H79)*(1-(R79/100))*100, 0)</f>
        <v/>
      </c>
      <c r="W79" s="8">
        <f>IF((K79+H79)&gt;0, ((K79/(K79+H79))*U79) + ((H79/(K79+H79))*V79), 0)</f>
        <v/>
      </c>
      <c r="X79" s="8">
        <f>S79-((W79/100)*T79)</f>
        <v/>
      </c>
    </row>
    <row r="80">
      <c r="A80" s="3" t="inlineStr">
        <is>
          <t>HCL Technologies Ltd</t>
        </is>
      </c>
      <c r="B80" s="3" t="inlineStr">
        <is>
          <t>FY24</t>
        </is>
      </c>
      <c r="C80" s="4" t="n">
        <v>24000</v>
      </c>
      <c r="D80" s="4" t="n">
        <v>800</v>
      </c>
      <c r="E80" s="4" t="n">
        <v>5000</v>
      </c>
      <c r="F80" s="4" t="n">
        <v>15500</v>
      </c>
      <c r="G80" s="4" t="n">
        <v>70000</v>
      </c>
      <c r="H80" s="4" t="n">
        <v>1000</v>
      </c>
      <c r="I80" s="4" t="n">
        <v>12000</v>
      </c>
      <c r="J80" s="4" t="n">
        <v>271</v>
      </c>
      <c r="K80" s="4" t="n">
        <v>300000</v>
      </c>
      <c r="L80" s="4" t="n">
        <v>7</v>
      </c>
      <c r="M80" s="4" t="n">
        <v>7.46</v>
      </c>
      <c r="N80" s="4" t="n">
        <v>0.85</v>
      </c>
      <c r="O80" s="5">
        <f>IF(G80&gt;0, (F80/G80)*100, 0)</f>
        <v/>
      </c>
      <c r="P80" s="5">
        <f>IF((G80+H80)&gt;0, (F80/(G80+H80))*100, 0)</f>
        <v/>
      </c>
      <c r="Q80" s="5">
        <f>IF(J80&gt;0, F80/J80, 0)</f>
        <v/>
      </c>
      <c r="R80" s="5">
        <f>MAX(0, MIN(35, IF((F80+E80)&lt;&gt;0, (E80/(F80+E80))*100, 0)))</f>
        <v/>
      </c>
      <c r="S80" s="5">
        <f>C80*(1-(R80/100))</f>
        <v/>
      </c>
      <c r="T80" s="5">
        <f>(G80+H80)-I80</f>
        <v/>
      </c>
      <c r="U80" s="5">
        <f>L80+(N80*M80)</f>
        <v/>
      </c>
      <c r="V80" s="5">
        <f>IF(H80&gt;0, (D80/H80)*(1-(R80/100))*100, 0)</f>
        <v/>
      </c>
      <c r="W80" s="5">
        <f>IF((K80+H80)&gt;0, ((K80/(K80+H80))*U80) + ((H80/(K80+H80))*V80), 0)</f>
        <v/>
      </c>
      <c r="X80" s="5">
        <f>S80-((W80/100)*T80)</f>
        <v/>
      </c>
    </row>
    <row r="81">
      <c r="A81" s="6" t="inlineStr">
        <is>
          <t>HCL Technologies Ltd</t>
        </is>
      </c>
      <c r="B81" s="6" t="inlineStr">
        <is>
          <t>FY25</t>
        </is>
      </c>
      <c r="C81" s="7" t="n">
        <v>26752</v>
      </c>
      <c r="D81" s="7" t="n">
        <v>869</v>
      </c>
      <c r="E81" s="7" t="n">
        <v>5450</v>
      </c>
      <c r="F81" s="7" t="n">
        <v>16652</v>
      </c>
      <c r="G81" s="7" t="n">
        <v>75165</v>
      </c>
      <c r="H81" s="7" t="n">
        <v>0</v>
      </c>
      <c r="I81" s="7" t="n">
        <v>10000</v>
      </c>
      <c r="J81" s="7" t="n">
        <v>271</v>
      </c>
      <c r="K81" s="7" t="n">
        <v>315898</v>
      </c>
      <c r="L81" s="7" t="n">
        <v>6.67</v>
      </c>
      <c r="M81" s="7" t="n">
        <v>7.46</v>
      </c>
      <c r="N81" s="7" t="n">
        <v>0.85</v>
      </c>
      <c r="O81" s="8">
        <f>IF(G81&gt;0, (F81/G81)*100, 0)</f>
        <v/>
      </c>
      <c r="P81" s="8">
        <f>IF((G81+H81)&gt;0, (F81/(G81+H81))*100, 0)</f>
        <v/>
      </c>
      <c r="Q81" s="8">
        <f>IF(J81&gt;0, F81/J81, 0)</f>
        <v/>
      </c>
      <c r="R81" s="8">
        <f>MAX(0, MIN(35, IF((F81+E81)&lt;&gt;0, (E81/(F81+E81))*100, 0)))</f>
        <v/>
      </c>
      <c r="S81" s="8">
        <f>C81*(1-(R81/100))</f>
        <v/>
      </c>
      <c r="T81" s="8">
        <f>(G81+H81)-I81</f>
        <v/>
      </c>
      <c r="U81" s="8">
        <f>L81+(N81*M81)</f>
        <v/>
      </c>
      <c r="V81" s="8">
        <f>IF(H81&gt;0, (D81/H81)*(1-(R81/100))*100, 0)</f>
        <v/>
      </c>
      <c r="W81" s="8">
        <f>IF((K81+H81)&gt;0, ((K81/(K81+H81))*U81) + ((H81/(K81+H81))*V81), 0)</f>
        <v/>
      </c>
      <c r="X81" s="8">
        <f>S81-((W81/100)*T81)</f>
        <v/>
      </c>
    </row>
    <row r="82">
      <c r="A82" s="3" t="inlineStr">
        <is>
          <t>Wipro Ltd</t>
        </is>
      </c>
      <c r="B82" s="3" t="inlineStr">
        <is>
          <t>FY16</t>
        </is>
      </c>
      <c r="C82" s="4" t="n">
        <v>8500</v>
      </c>
      <c r="D82" s="4" t="n">
        <v>200</v>
      </c>
      <c r="E82" s="4" t="n">
        <v>1800</v>
      </c>
      <c r="F82" s="4" t="n">
        <v>6500</v>
      </c>
      <c r="G82" s="4" t="n">
        <v>35000</v>
      </c>
      <c r="H82" s="4" t="n">
        <v>2000</v>
      </c>
      <c r="I82" s="4" t="n">
        <v>15000</v>
      </c>
      <c r="J82" s="4" t="n">
        <v>522</v>
      </c>
      <c r="K82" s="4" t="n">
        <v>120000</v>
      </c>
      <c r="L82" s="4" t="n">
        <v>7.5</v>
      </c>
      <c r="M82" s="4" t="n">
        <v>7.46</v>
      </c>
      <c r="N82" s="4" t="n">
        <v>1</v>
      </c>
      <c r="O82" s="5">
        <f>IF(G82&gt;0, (F82/G82)*100, 0)</f>
        <v/>
      </c>
      <c r="P82" s="5">
        <f>IF((G82+H82)&gt;0, (F82/(G82+H82))*100, 0)</f>
        <v/>
      </c>
      <c r="Q82" s="5">
        <f>IF(J82&gt;0, F82/J82, 0)</f>
        <v/>
      </c>
      <c r="R82" s="5">
        <f>MAX(0, MIN(35, IF((F82+E82)&lt;&gt;0, (E82/(F82+E82))*100, 0)))</f>
        <v/>
      </c>
      <c r="S82" s="5">
        <f>C82*(1-(R82/100))</f>
        <v/>
      </c>
      <c r="T82" s="5">
        <f>(G82+H82)-I82</f>
        <v/>
      </c>
      <c r="U82" s="5">
        <f>L82+(N82*M82)</f>
        <v/>
      </c>
      <c r="V82" s="5">
        <f>IF(H82&gt;0, (D82/H82)*(1-(R82/100))*100, 0)</f>
        <v/>
      </c>
      <c r="W82" s="5">
        <f>IF((K82+H82)&gt;0, ((K82/(K82+H82))*U82) + ((H82/(K82+H82))*V82), 0)</f>
        <v/>
      </c>
      <c r="X82" s="5">
        <f>S82-((W82/100)*T82)</f>
        <v/>
      </c>
    </row>
    <row r="83">
      <c r="A83" s="6" t="inlineStr">
        <is>
          <t>Wipro Ltd</t>
        </is>
      </c>
      <c r="B83" s="6" t="inlineStr">
        <is>
          <t>FY17</t>
        </is>
      </c>
      <c r="C83" s="7" t="n">
        <v>9000</v>
      </c>
      <c r="D83" s="7" t="n">
        <v>250</v>
      </c>
      <c r="E83" s="7" t="n">
        <v>1900</v>
      </c>
      <c r="F83" s="7" t="n">
        <v>6850</v>
      </c>
      <c r="G83" s="7" t="n">
        <v>38000</v>
      </c>
      <c r="H83" s="7" t="n">
        <v>2500</v>
      </c>
      <c r="I83" s="7" t="n">
        <v>18000</v>
      </c>
      <c r="J83" s="7" t="n">
        <v>522</v>
      </c>
      <c r="K83" s="7" t="n">
        <v>130000</v>
      </c>
      <c r="L83" s="7" t="n">
        <v>7</v>
      </c>
      <c r="M83" s="7" t="n">
        <v>7.46</v>
      </c>
      <c r="N83" s="7" t="n">
        <v>1</v>
      </c>
      <c r="O83" s="8">
        <f>IF(G83&gt;0, (F83/G83)*100, 0)</f>
        <v/>
      </c>
      <c r="P83" s="8">
        <f>IF((G83+H83)&gt;0, (F83/(G83+H83))*100, 0)</f>
        <v/>
      </c>
      <c r="Q83" s="8">
        <f>IF(J83&gt;0, F83/J83, 0)</f>
        <v/>
      </c>
      <c r="R83" s="8">
        <f>MAX(0, MIN(35, IF((F83+E83)&lt;&gt;0, (E83/(F83+E83))*100, 0)))</f>
        <v/>
      </c>
      <c r="S83" s="8">
        <f>C83*(1-(R83/100))</f>
        <v/>
      </c>
      <c r="T83" s="8">
        <f>(G83+H83)-I83</f>
        <v/>
      </c>
      <c r="U83" s="8">
        <f>L83+(N83*M83)</f>
        <v/>
      </c>
      <c r="V83" s="8">
        <f>IF(H83&gt;0, (D83/H83)*(1-(R83/100))*100, 0)</f>
        <v/>
      </c>
      <c r="W83" s="8">
        <f>IF((K83+H83)&gt;0, ((K83/(K83+H83))*U83) + ((H83/(K83+H83))*V83), 0)</f>
        <v/>
      </c>
      <c r="X83" s="8">
        <f>S83-((W83/100)*T83)</f>
        <v/>
      </c>
    </row>
    <row r="84">
      <c r="A84" s="3" t="inlineStr">
        <is>
          <t>Wipro Ltd</t>
        </is>
      </c>
      <c r="B84" s="3" t="inlineStr">
        <is>
          <t>FY18</t>
        </is>
      </c>
      <c r="C84" s="4" t="n">
        <v>9500</v>
      </c>
      <c r="D84" s="4" t="n">
        <v>300</v>
      </c>
      <c r="E84" s="4" t="n">
        <v>2000</v>
      </c>
      <c r="F84" s="4" t="n">
        <v>7200</v>
      </c>
      <c r="G84" s="4" t="n">
        <v>42000</v>
      </c>
      <c r="H84" s="4" t="n">
        <v>3000</v>
      </c>
      <c r="I84" s="4" t="n">
        <v>22000</v>
      </c>
      <c r="J84" s="4" t="n">
        <v>522</v>
      </c>
      <c r="K84" s="4" t="n">
        <v>140000</v>
      </c>
      <c r="L84" s="4" t="n">
        <v>7.2</v>
      </c>
      <c r="M84" s="4" t="n">
        <v>7.46</v>
      </c>
      <c r="N84" s="4" t="n">
        <v>1</v>
      </c>
      <c r="O84" s="5">
        <f>IF(G84&gt;0, (F84/G84)*100, 0)</f>
        <v/>
      </c>
      <c r="P84" s="5">
        <f>IF((G84+H84)&gt;0, (F84/(G84+H84))*100, 0)</f>
        <v/>
      </c>
      <c r="Q84" s="5">
        <f>IF(J84&gt;0, F84/J84, 0)</f>
        <v/>
      </c>
      <c r="R84" s="5">
        <f>MAX(0, MIN(35, IF((F84+E84)&lt;&gt;0, (E84/(F84+E84))*100, 0)))</f>
        <v/>
      </c>
      <c r="S84" s="5">
        <f>C84*(1-(R84/100))</f>
        <v/>
      </c>
      <c r="T84" s="5">
        <f>(G84+H84)-I84</f>
        <v/>
      </c>
      <c r="U84" s="5">
        <f>L84+(N84*M84)</f>
        <v/>
      </c>
      <c r="V84" s="5">
        <f>IF(H84&gt;0, (D84/H84)*(1-(R84/100))*100, 0)</f>
        <v/>
      </c>
      <c r="W84" s="5">
        <f>IF((K84+H84)&gt;0, ((K84/(K84+H84))*U84) + ((H84/(K84+H84))*V84), 0)</f>
        <v/>
      </c>
      <c r="X84" s="5">
        <f>S84-((W84/100)*T84)</f>
        <v/>
      </c>
    </row>
    <row r="85">
      <c r="A85" s="6" t="inlineStr">
        <is>
          <t>Wipro Ltd</t>
        </is>
      </c>
      <c r="B85" s="6" t="inlineStr">
        <is>
          <t>FY19</t>
        </is>
      </c>
      <c r="C85" s="7" t="n">
        <v>10500</v>
      </c>
      <c r="D85" s="7" t="n">
        <v>350</v>
      </c>
      <c r="E85" s="7" t="n">
        <v>2200</v>
      </c>
      <c r="F85" s="7" t="n">
        <v>7950</v>
      </c>
      <c r="G85" s="7" t="n">
        <v>46000</v>
      </c>
      <c r="H85" s="7" t="n">
        <v>5000</v>
      </c>
      <c r="I85" s="7" t="n">
        <v>25000</v>
      </c>
      <c r="J85" s="7" t="n">
        <v>522</v>
      </c>
      <c r="K85" s="7" t="n">
        <v>150000</v>
      </c>
      <c r="L85" s="7" t="n">
        <v>7.4</v>
      </c>
      <c r="M85" s="7" t="n">
        <v>7.46</v>
      </c>
      <c r="N85" s="7" t="n">
        <v>1</v>
      </c>
      <c r="O85" s="8">
        <f>IF(G85&gt;0, (F85/G85)*100, 0)</f>
        <v/>
      </c>
      <c r="P85" s="8">
        <f>IF((G85+H85)&gt;0, (F85/(G85+H85))*100, 0)</f>
        <v/>
      </c>
      <c r="Q85" s="8">
        <f>IF(J85&gt;0, F85/J85, 0)</f>
        <v/>
      </c>
      <c r="R85" s="8">
        <f>MAX(0, MIN(35, IF((F85+E85)&lt;&gt;0, (E85/(F85+E85))*100, 0)))</f>
        <v/>
      </c>
      <c r="S85" s="8">
        <f>C85*(1-(R85/100))</f>
        <v/>
      </c>
      <c r="T85" s="8">
        <f>(G85+H85)-I85</f>
        <v/>
      </c>
      <c r="U85" s="8">
        <f>L85+(N85*M85)</f>
        <v/>
      </c>
      <c r="V85" s="8">
        <f>IF(H85&gt;0, (D85/H85)*(1-(R85/100))*100, 0)</f>
        <v/>
      </c>
      <c r="W85" s="8">
        <f>IF((K85+H85)&gt;0, ((K85/(K85+H85))*U85) + ((H85/(K85+H85))*V85), 0)</f>
        <v/>
      </c>
      <c r="X85" s="8">
        <f>S85-((W85/100)*T85)</f>
        <v/>
      </c>
    </row>
    <row r="86">
      <c r="A86" s="3" t="inlineStr">
        <is>
          <t>Wipro Ltd</t>
        </is>
      </c>
      <c r="B86" s="3" t="inlineStr">
        <is>
          <t>FY20</t>
        </is>
      </c>
      <c r="C86" s="4" t="n">
        <v>11000</v>
      </c>
      <c r="D86" s="4" t="n">
        <v>400</v>
      </c>
      <c r="E86" s="4" t="n">
        <v>2300</v>
      </c>
      <c r="F86" s="4" t="n">
        <v>8300</v>
      </c>
      <c r="G86" s="4" t="n">
        <v>50000</v>
      </c>
      <c r="H86" s="4" t="n">
        <v>6000</v>
      </c>
      <c r="I86" s="4" t="n">
        <v>28000</v>
      </c>
      <c r="J86" s="4" t="n">
        <v>522</v>
      </c>
      <c r="K86" s="4" t="n">
        <v>160000</v>
      </c>
      <c r="L86" s="4" t="n">
        <v>6</v>
      </c>
      <c r="M86" s="4" t="n">
        <v>7.46</v>
      </c>
      <c r="N86" s="4" t="n">
        <v>1</v>
      </c>
      <c r="O86" s="5">
        <f>IF(G86&gt;0, (F86/G86)*100, 0)</f>
        <v/>
      </c>
      <c r="P86" s="5">
        <f>IF((G86+H86)&gt;0, (F86/(G86+H86))*100, 0)</f>
        <v/>
      </c>
      <c r="Q86" s="5">
        <f>IF(J86&gt;0, F86/J86, 0)</f>
        <v/>
      </c>
      <c r="R86" s="5">
        <f>MAX(0, MIN(35, IF((F86+E86)&lt;&gt;0, (E86/(F86+E86))*100, 0)))</f>
        <v/>
      </c>
      <c r="S86" s="5">
        <f>C86*(1-(R86/100))</f>
        <v/>
      </c>
      <c r="T86" s="5">
        <f>(G86+H86)-I86</f>
        <v/>
      </c>
      <c r="U86" s="5">
        <f>L86+(N86*M86)</f>
        <v/>
      </c>
      <c r="V86" s="5">
        <f>IF(H86&gt;0, (D86/H86)*(1-(R86/100))*100, 0)</f>
        <v/>
      </c>
      <c r="W86" s="5">
        <f>IF((K86+H86)&gt;0, ((K86/(K86+H86))*U86) + ((H86/(K86+H86))*V86), 0)</f>
        <v/>
      </c>
      <c r="X86" s="5">
        <f>S86-((W86/100)*T86)</f>
        <v/>
      </c>
    </row>
    <row r="87">
      <c r="A87" s="6" t="inlineStr">
        <is>
          <t>Wipro Ltd</t>
        </is>
      </c>
      <c r="B87" s="6" t="inlineStr">
        <is>
          <t>FY21</t>
        </is>
      </c>
      <c r="C87" s="7" t="n">
        <v>12000</v>
      </c>
      <c r="D87" s="7" t="n">
        <v>500</v>
      </c>
      <c r="E87" s="7" t="n">
        <v>2500</v>
      </c>
      <c r="F87" s="7" t="n">
        <v>10700</v>
      </c>
      <c r="G87" s="7" t="n">
        <v>55000</v>
      </c>
      <c r="H87" s="7" t="n">
        <v>8000</v>
      </c>
      <c r="I87" s="7" t="n">
        <v>34000</v>
      </c>
      <c r="J87" s="7" t="n">
        <v>522</v>
      </c>
      <c r="K87" s="7" t="n">
        <v>220000</v>
      </c>
      <c r="L87" s="7" t="n">
        <v>5.5</v>
      </c>
      <c r="M87" s="7" t="n">
        <v>7.46</v>
      </c>
      <c r="N87" s="7" t="n">
        <v>1</v>
      </c>
      <c r="O87" s="8">
        <f>IF(G87&gt;0, (F87/G87)*100, 0)</f>
        <v/>
      </c>
      <c r="P87" s="8">
        <f>IF((G87+H87)&gt;0, (F87/(G87+H87))*100, 0)</f>
        <v/>
      </c>
      <c r="Q87" s="8">
        <f>IF(J87&gt;0, F87/J87, 0)</f>
        <v/>
      </c>
      <c r="R87" s="8">
        <f>MAX(0, MIN(35, IF((F87+E87)&lt;&gt;0, (E87/(F87+E87))*100, 0)))</f>
        <v/>
      </c>
      <c r="S87" s="8">
        <f>C87*(1-(R87/100))</f>
        <v/>
      </c>
      <c r="T87" s="8">
        <f>(G87+H87)-I87</f>
        <v/>
      </c>
      <c r="U87" s="8">
        <f>L87+(N87*M87)</f>
        <v/>
      </c>
      <c r="V87" s="8">
        <f>IF(H87&gt;0, (D87/H87)*(1-(R87/100))*100, 0)</f>
        <v/>
      </c>
      <c r="W87" s="8">
        <f>IF((K87+H87)&gt;0, ((K87/(K87+H87))*U87) + ((H87/(K87+H87))*V87), 0)</f>
        <v/>
      </c>
      <c r="X87" s="8">
        <f>S87-((W87/100)*T87)</f>
        <v/>
      </c>
    </row>
    <row r="88">
      <c r="A88" s="3" t="inlineStr">
        <is>
          <t>Wipro Ltd</t>
        </is>
      </c>
      <c r="B88" s="3" t="inlineStr">
        <is>
          <t>FY22</t>
        </is>
      </c>
      <c r="C88" s="4" t="n">
        <v>13000</v>
      </c>
      <c r="D88" s="4" t="n">
        <v>520</v>
      </c>
      <c r="E88" s="4" t="n">
        <v>2800</v>
      </c>
      <c r="F88" s="4" t="n">
        <v>12200</v>
      </c>
      <c r="G88" s="4" t="n">
        <v>65000</v>
      </c>
      <c r="H88" s="4" t="n">
        <v>10000</v>
      </c>
      <c r="I88" s="4" t="n">
        <v>32000</v>
      </c>
      <c r="J88" s="4" t="n">
        <v>522</v>
      </c>
      <c r="K88" s="4" t="n">
        <v>300000</v>
      </c>
      <c r="L88" s="4" t="n">
        <v>6</v>
      </c>
      <c r="M88" s="4" t="n">
        <v>7.46</v>
      </c>
      <c r="N88" s="4" t="n">
        <v>1</v>
      </c>
      <c r="O88" s="5">
        <f>IF(G88&gt;0, (F88/G88)*100, 0)</f>
        <v/>
      </c>
      <c r="P88" s="5">
        <f>IF((G88+H88)&gt;0, (F88/(G88+H88))*100, 0)</f>
        <v/>
      </c>
      <c r="Q88" s="5">
        <f>IF(J88&gt;0, F88/J88, 0)</f>
        <v/>
      </c>
      <c r="R88" s="5">
        <f>MAX(0, MIN(35, IF((F88+E88)&lt;&gt;0, (E88/(F88+E88))*100, 0)))</f>
        <v/>
      </c>
      <c r="S88" s="5">
        <f>C88*(1-(R88/100))</f>
        <v/>
      </c>
      <c r="T88" s="5">
        <f>(G88+H88)-I88</f>
        <v/>
      </c>
      <c r="U88" s="5">
        <f>L88+(N88*M88)</f>
        <v/>
      </c>
      <c r="V88" s="5">
        <f>IF(H88&gt;0, (D88/H88)*(1-(R88/100))*100, 0)</f>
        <v/>
      </c>
      <c r="W88" s="5">
        <f>IF((K88+H88)&gt;0, ((K88/(K88+H88))*U88) + ((H88/(K88+H88))*V88), 0)</f>
        <v/>
      </c>
      <c r="X88" s="5">
        <f>S88-((W88/100)*T88)</f>
        <v/>
      </c>
    </row>
    <row r="89">
      <c r="A89" s="6" t="inlineStr">
        <is>
          <t>Wipro Ltd</t>
        </is>
      </c>
      <c r="B89" s="6" t="inlineStr">
        <is>
          <t>FY23</t>
        </is>
      </c>
      <c r="C89" s="7" t="n">
        <v>14000</v>
      </c>
      <c r="D89" s="7" t="n">
        <v>550</v>
      </c>
      <c r="E89" s="7" t="n">
        <v>3000</v>
      </c>
      <c r="F89" s="7" t="n">
        <v>11300</v>
      </c>
      <c r="G89" s="7" t="n">
        <v>62000</v>
      </c>
      <c r="H89" s="7" t="n">
        <v>12000</v>
      </c>
      <c r="I89" s="7" t="n">
        <v>30000</v>
      </c>
      <c r="J89" s="7" t="n">
        <v>522</v>
      </c>
      <c r="K89" s="7" t="n">
        <v>250000</v>
      </c>
      <c r="L89" s="7" t="n">
        <v>6.5</v>
      </c>
      <c r="M89" s="7" t="n">
        <v>7.46</v>
      </c>
      <c r="N89" s="7" t="n">
        <v>1</v>
      </c>
      <c r="O89" s="8">
        <f>IF(G89&gt;0, (F89/G89)*100, 0)</f>
        <v/>
      </c>
      <c r="P89" s="8">
        <f>IF((G89+H89)&gt;0, (F89/(G89+H89))*100, 0)</f>
        <v/>
      </c>
      <c r="Q89" s="8">
        <f>IF(J89&gt;0, F89/J89, 0)</f>
        <v/>
      </c>
      <c r="R89" s="8">
        <f>MAX(0, MIN(35, IF((F89+E89)&lt;&gt;0, (E89/(F89+E89))*100, 0)))</f>
        <v/>
      </c>
      <c r="S89" s="8">
        <f>C89*(1-(R89/100))</f>
        <v/>
      </c>
      <c r="T89" s="8">
        <f>(G89+H89)-I89</f>
        <v/>
      </c>
      <c r="U89" s="8">
        <f>L89+(N89*M89)</f>
        <v/>
      </c>
      <c r="V89" s="8">
        <f>IF(H89&gt;0, (D89/H89)*(1-(R89/100))*100, 0)</f>
        <v/>
      </c>
      <c r="W89" s="8">
        <f>IF((K89+H89)&gt;0, ((K89/(K89+H89))*U89) + ((H89/(K89+H89))*V89), 0)</f>
        <v/>
      </c>
      <c r="X89" s="8">
        <f>S89-((W89/100)*T89)</f>
        <v/>
      </c>
    </row>
    <row r="90">
      <c r="A90" s="3" t="inlineStr">
        <is>
          <t>Wipro Ltd</t>
        </is>
      </c>
      <c r="B90" s="3" t="inlineStr">
        <is>
          <t>FY24</t>
        </is>
      </c>
      <c r="C90" s="4" t="n">
        <v>15000</v>
      </c>
      <c r="D90" s="4" t="n">
        <v>580</v>
      </c>
      <c r="E90" s="4" t="n">
        <v>3200</v>
      </c>
      <c r="F90" s="4" t="n">
        <v>11000</v>
      </c>
      <c r="G90" s="4" t="n">
        <v>61000</v>
      </c>
      <c r="H90" s="4" t="n">
        <v>14000</v>
      </c>
      <c r="I90" s="4" t="n">
        <v>31000</v>
      </c>
      <c r="J90" s="4" t="n">
        <v>522</v>
      </c>
      <c r="K90" s="4" t="n">
        <v>240000</v>
      </c>
      <c r="L90" s="4" t="n">
        <v>7</v>
      </c>
      <c r="M90" s="4" t="n">
        <v>7.46</v>
      </c>
      <c r="N90" s="4" t="n">
        <v>1</v>
      </c>
      <c r="O90" s="5">
        <f>IF(G90&gt;0, (F90/G90)*100, 0)</f>
        <v/>
      </c>
      <c r="P90" s="5">
        <f>IF((G90+H90)&gt;0, (F90/(G90+H90))*100, 0)</f>
        <v/>
      </c>
      <c r="Q90" s="5">
        <f>IF(J90&gt;0, F90/J90, 0)</f>
        <v/>
      </c>
      <c r="R90" s="5">
        <f>MAX(0, MIN(35, IF((F90+E90)&lt;&gt;0, (E90/(F90+E90))*100, 0)))</f>
        <v/>
      </c>
      <c r="S90" s="5">
        <f>C90*(1-(R90/100))</f>
        <v/>
      </c>
      <c r="T90" s="5">
        <f>(G90+H90)-I90</f>
        <v/>
      </c>
      <c r="U90" s="5">
        <f>L90+(N90*M90)</f>
        <v/>
      </c>
      <c r="V90" s="5">
        <f>IF(H90&gt;0, (D90/H90)*(1-(R90/100))*100, 0)</f>
        <v/>
      </c>
      <c r="W90" s="5">
        <f>IF((K90+H90)&gt;0, ((K90/(K90+H90))*U90) + ((H90/(K90+H90))*V90), 0)</f>
        <v/>
      </c>
      <c r="X90" s="5">
        <f>S90-((W90/100)*T90)</f>
        <v/>
      </c>
    </row>
    <row r="91">
      <c r="A91" s="6" t="inlineStr">
        <is>
          <t>Wipro Ltd</t>
        </is>
      </c>
      <c r="B91" s="6" t="inlineStr">
        <is>
          <t>FY25</t>
        </is>
      </c>
      <c r="C91" s="7" t="n">
        <v>16000</v>
      </c>
      <c r="D91" s="7" t="n">
        <v>600</v>
      </c>
      <c r="E91" s="7" t="n">
        <v>3500</v>
      </c>
      <c r="F91" s="7" t="n">
        <v>11500</v>
      </c>
      <c r="G91" s="7" t="n">
        <v>60000</v>
      </c>
      <c r="H91" s="7" t="n">
        <v>15000</v>
      </c>
      <c r="I91" s="7" t="n">
        <v>30000</v>
      </c>
      <c r="J91" s="7" t="n">
        <v>522</v>
      </c>
      <c r="K91" s="7" t="n">
        <v>173777</v>
      </c>
      <c r="L91" s="7" t="n">
        <v>6.67</v>
      </c>
      <c r="M91" s="7" t="n">
        <v>7.46</v>
      </c>
      <c r="N91" s="7" t="n">
        <v>1</v>
      </c>
      <c r="O91" s="8">
        <f>IF(G91&gt;0, (F91/G91)*100, 0)</f>
        <v/>
      </c>
      <c r="P91" s="8">
        <f>IF((G91+H91)&gt;0, (F91/(G91+H91))*100, 0)</f>
        <v/>
      </c>
      <c r="Q91" s="8">
        <f>IF(J91&gt;0, F91/J91, 0)</f>
        <v/>
      </c>
      <c r="R91" s="8">
        <f>MAX(0, MIN(35, IF((F91+E91)&lt;&gt;0, (E91/(F91+E91))*100, 0)))</f>
        <v/>
      </c>
      <c r="S91" s="8">
        <f>C91*(1-(R91/100))</f>
        <v/>
      </c>
      <c r="T91" s="8">
        <f>(G91+H91)-I91</f>
        <v/>
      </c>
      <c r="U91" s="8">
        <f>L91+(N91*M91)</f>
        <v/>
      </c>
      <c r="V91" s="8">
        <f>IF(H91&gt;0, (D91/H91)*(1-(R91/100))*100, 0)</f>
        <v/>
      </c>
      <c r="W91" s="8">
        <f>IF((K91+H91)&gt;0, ((K91/(K91+H91))*U91) + ((H91/(K91+H91))*V91), 0)</f>
        <v/>
      </c>
      <c r="X91" s="8">
        <f>S91-((W91/100)*T91)</f>
        <v/>
      </c>
    </row>
    <row r="92">
      <c r="A92" s="3" t="inlineStr">
        <is>
          <t>Oracle Financial Services Software Ltd</t>
        </is>
      </c>
      <c r="B92" s="3" t="inlineStr">
        <is>
          <t>FY16</t>
        </is>
      </c>
      <c r="C92" s="4" t="n">
        <v>1200</v>
      </c>
      <c r="D92" s="4" t="n">
        <v>30</v>
      </c>
      <c r="E92" s="4" t="n">
        <v>300</v>
      </c>
      <c r="F92" s="4" t="n">
        <v>870</v>
      </c>
      <c r="G92" s="4" t="n">
        <v>3000</v>
      </c>
      <c r="H92" s="4" t="n">
        <v>0</v>
      </c>
      <c r="I92" s="4" t="n">
        <v>1000</v>
      </c>
      <c r="J92" s="4" t="n">
        <v>8.65</v>
      </c>
      <c r="K92" s="4" t="n">
        <v>15000</v>
      </c>
      <c r="L92" s="4" t="n">
        <v>7.5</v>
      </c>
      <c r="M92" s="4" t="n">
        <v>7.46</v>
      </c>
      <c r="N92" s="4" t="n">
        <v>0.8</v>
      </c>
      <c r="O92" s="5">
        <f>IF(G92&gt;0, (F92/G92)*100, 0)</f>
        <v/>
      </c>
      <c r="P92" s="5">
        <f>IF((G92+H92)&gt;0, (F92/(G92+H92))*100, 0)</f>
        <v/>
      </c>
      <c r="Q92" s="5">
        <f>IF(J92&gt;0, F92/J92, 0)</f>
        <v/>
      </c>
      <c r="R92" s="5">
        <f>MAX(0, MIN(35, IF((F92+E92)&lt;&gt;0, (E92/(F92+E92))*100, 0)))</f>
        <v/>
      </c>
      <c r="S92" s="5">
        <f>C92*(1-(R92/100))</f>
        <v/>
      </c>
      <c r="T92" s="5">
        <f>(G92+H92)-I92</f>
        <v/>
      </c>
      <c r="U92" s="5">
        <f>L92+(N92*M92)</f>
        <v/>
      </c>
      <c r="V92" s="5">
        <f>IF(H92&gt;0, (D92/H92)*(1-(R92/100))*100, 0)</f>
        <v/>
      </c>
      <c r="W92" s="5">
        <f>IF((K92+H92)&gt;0, ((K92/(K92+H92))*U92) + ((H92/(K92+H92))*V92), 0)</f>
        <v/>
      </c>
      <c r="X92" s="5">
        <f>S92-((W92/100)*T92)</f>
        <v/>
      </c>
    </row>
    <row r="93">
      <c r="A93" s="6" t="inlineStr">
        <is>
          <t>Oracle Financial Services Software Ltd</t>
        </is>
      </c>
      <c r="B93" s="6" t="inlineStr">
        <is>
          <t>FY17</t>
        </is>
      </c>
      <c r="C93" s="7" t="n">
        <v>1400</v>
      </c>
      <c r="D93" s="7" t="n">
        <v>25</v>
      </c>
      <c r="E93" s="7" t="n">
        <v>350</v>
      </c>
      <c r="F93" s="7" t="n">
        <v>1025</v>
      </c>
      <c r="G93" s="7" t="n">
        <v>3500</v>
      </c>
      <c r="H93" s="7" t="n">
        <v>0</v>
      </c>
      <c r="I93" s="7" t="n">
        <v>1200</v>
      </c>
      <c r="J93" s="7" t="n">
        <v>8.65</v>
      </c>
      <c r="K93" s="7" t="n">
        <v>18000</v>
      </c>
      <c r="L93" s="7" t="n">
        <v>7</v>
      </c>
      <c r="M93" s="7" t="n">
        <v>7.46</v>
      </c>
      <c r="N93" s="7" t="n">
        <v>0.8</v>
      </c>
      <c r="O93" s="8">
        <f>IF(G93&gt;0, (F93/G93)*100, 0)</f>
        <v/>
      </c>
      <c r="P93" s="8">
        <f>IF((G93+H93)&gt;0, (F93/(G93+H93))*100, 0)</f>
        <v/>
      </c>
      <c r="Q93" s="8">
        <f>IF(J93&gt;0, F93/J93, 0)</f>
        <v/>
      </c>
      <c r="R93" s="8">
        <f>MAX(0, MIN(35, IF((F93+E93)&lt;&gt;0, (E93/(F93+E93))*100, 0)))</f>
        <v/>
      </c>
      <c r="S93" s="8">
        <f>C93*(1-(R93/100))</f>
        <v/>
      </c>
      <c r="T93" s="8">
        <f>(G93+H93)-I93</f>
        <v/>
      </c>
      <c r="U93" s="8">
        <f>L93+(N93*M93)</f>
        <v/>
      </c>
      <c r="V93" s="8">
        <f>IF(H93&gt;0, (D93/H93)*(1-(R93/100))*100, 0)</f>
        <v/>
      </c>
      <c r="W93" s="8">
        <f>IF((K93+H93)&gt;0, ((K93/(K93+H93))*U93) + ((H93/(K93+H93))*V93), 0)</f>
        <v/>
      </c>
      <c r="X93" s="8">
        <f>S93-((W93/100)*T93)</f>
        <v/>
      </c>
    </row>
    <row r="94">
      <c r="A94" s="3" t="inlineStr">
        <is>
          <t>Oracle Financial Services Software Ltd</t>
        </is>
      </c>
      <c r="B94" s="3" t="inlineStr">
        <is>
          <t>FY18</t>
        </is>
      </c>
      <c r="C94" s="4" t="n">
        <v>1600</v>
      </c>
      <c r="D94" s="4" t="n">
        <v>20</v>
      </c>
      <c r="E94" s="4" t="n">
        <v>400</v>
      </c>
      <c r="F94" s="4" t="n">
        <v>1180</v>
      </c>
      <c r="G94" s="4" t="n">
        <v>4000</v>
      </c>
      <c r="H94" s="4" t="n">
        <v>0</v>
      </c>
      <c r="I94" s="4" t="n">
        <v>1400</v>
      </c>
      <c r="J94" s="4" t="n">
        <v>8.65</v>
      </c>
      <c r="K94" s="4" t="n">
        <v>20000</v>
      </c>
      <c r="L94" s="4" t="n">
        <v>7.2</v>
      </c>
      <c r="M94" s="4" t="n">
        <v>7.46</v>
      </c>
      <c r="N94" s="4" t="n">
        <v>0.8</v>
      </c>
      <c r="O94" s="5">
        <f>IF(G94&gt;0, (F94/G94)*100, 0)</f>
        <v/>
      </c>
      <c r="P94" s="5">
        <f>IF((G94+H94)&gt;0, (F94/(G94+H94))*100, 0)</f>
        <v/>
      </c>
      <c r="Q94" s="5">
        <f>IF(J94&gt;0, F94/J94, 0)</f>
        <v/>
      </c>
      <c r="R94" s="5">
        <f>MAX(0, MIN(35, IF((F94+E94)&lt;&gt;0, (E94/(F94+E94))*100, 0)))</f>
        <v/>
      </c>
      <c r="S94" s="5">
        <f>C94*(1-(R94/100))</f>
        <v/>
      </c>
      <c r="T94" s="5">
        <f>(G94+H94)-I94</f>
        <v/>
      </c>
      <c r="U94" s="5">
        <f>L94+(N94*M94)</f>
        <v/>
      </c>
      <c r="V94" s="5">
        <f>IF(H94&gt;0, (D94/H94)*(1-(R94/100))*100, 0)</f>
        <v/>
      </c>
      <c r="W94" s="5">
        <f>IF((K94+H94)&gt;0, ((K94/(K94+H94))*U94) + ((H94/(K94+H94))*V94), 0)</f>
        <v/>
      </c>
      <c r="X94" s="5">
        <f>S94-((W94/100)*T94)</f>
        <v/>
      </c>
    </row>
    <row r="95">
      <c r="A95" s="6" t="inlineStr">
        <is>
          <t>Oracle Financial Services Software Ltd</t>
        </is>
      </c>
      <c r="B95" s="6" t="inlineStr">
        <is>
          <t>FY19</t>
        </is>
      </c>
      <c r="C95" s="7" t="n">
        <v>1800</v>
      </c>
      <c r="D95" s="7" t="n">
        <v>15</v>
      </c>
      <c r="E95" s="7" t="n">
        <v>500</v>
      </c>
      <c r="F95" s="7" t="n">
        <v>1285</v>
      </c>
      <c r="G95" s="7" t="n">
        <v>4500</v>
      </c>
      <c r="H95" s="7" t="n">
        <v>0</v>
      </c>
      <c r="I95" s="7" t="n">
        <v>1600</v>
      </c>
      <c r="J95" s="7" t="n">
        <v>8.65</v>
      </c>
      <c r="K95" s="7" t="n">
        <v>22000</v>
      </c>
      <c r="L95" s="7" t="n">
        <v>7.4</v>
      </c>
      <c r="M95" s="7" t="n">
        <v>7.46</v>
      </c>
      <c r="N95" s="7" t="n">
        <v>0.8</v>
      </c>
      <c r="O95" s="8">
        <f>IF(G95&gt;0, (F95/G95)*100, 0)</f>
        <v/>
      </c>
      <c r="P95" s="8">
        <f>IF((G95+H95)&gt;0, (F95/(G95+H95))*100, 0)</f>
        <v/>
      </c>
      <c r="Q95" s="8">
        <f>IF(J95&gt;0, F95/J95, 0)</f>
        <v/>
      </c>
      <c r="R95" s="8">
        <f>MAX(0, MIN(35, IF((F95+E95)&lt;&gt;0, (E95/(F95+E95))*100, 0)))</f>
        <v/>
      </c>
      <c r="S95" s="8">
        <f>C95*(1-(R95/100))</f>
        <v/>
      </c>
      <c r="T95" s="8">
        <f>(G95+H95)-I95</f>
        <v/>
      </c>
      <c r="U95" s="8">
        <f>L95+(N95*M95)</f>
        <v/>
      </c>
      <c r="V95" s="8">
        <f>IF(H95&gt;0, (D95/H95)*(1-(R95/100))*100, 0)</f>
        <v/>
      </c>
      <c r="W95" s="8">
        <f>IF((K95+H95)&gt;0, ((K95/(K95+H95))*U95) + ((H95/(K95+H95))*V95), 0)</f>
        <v/>
      </c>
      <c r="X95" s="8">
        <f>S95-((W95/100)*T95)</f>
        <v/>
      </c>
    </row>
    <row r="96">
      <c r="A96" s="3" t="inlineStr">
        <is>
          <t>Oracle Financial Services Software Ltd</t>
        </is>
      </c>
      <c r="B96" s="3" t="inlineStr">
        <is>
          <t>FY20</t>
        </is>
      </c>
      <c r="C96" s="4" t="n">
        <v>2000</v>
      </c>
      <c r="D96" s="4" t="n">
        <v>12</v>
      </c>
      <c r="E96" s="4" t="n">
        <v>550</v>
      </c>
      <c r="F96" s="4" t="n">
        <v>1438</v>
      </c>
      <c r="G96" s="4" t="n">
        <v>5000</v>
      </c>
      <c r="H96" s="4" t="n">
        <v>0</v>
      </c>
      <c r="I96" s="4" t="n">
        <v>1800</v>
      </c>
      <c r="J96" s="4" t="n">
        <v>8.65</v>
      </c>
      <c r="K96" s="4" t="n">
        <v>25000</v>
      </c>
      <c r="L96" s="4" t="n">
        <v>6</v>
      </c>
      <c r="M96" s="4" t="n">
        <v>7.46</v>
      </c>
      <c r="N96" s="4" t="n">
        <v>0.8</v>
      </c>
      <c r="O96" s="5">
        <f>IF(G96&gt;0, (F96/G96)*100, 0)</f>
        <v/>
      </c>
      <c r="P96" s="5">
        <f>IF((G96+H96)&gt;0, (F96/(G96+H96))*100, 0)</f>
        <v/>
      </c>
      <c r="Q96" s="5">
        <f>IF(J96&gt;0, F96/J96, 0)</f>
        <v/>
      </c>
      <c r="R96" s="5">
        <f>MAX(0, MIN(35, IF((F96+E96)&lt;&gt;0, (E96/(F96+E96))*100, 0)))</f>
        <v/>
      </c>
      <c r="S96" s="5">
        <f>C96*(1-(R96/100))</f>
        <v/>
      </c>
      <c r="T96" s="5">
        <f>(G96+H96)-I96</f>
        <v/>
      </c>
      <c r="U96" s="5">
        <f>L96+(N96*M96)</f>
        <v/>
      </c>
      <c r="V96" s="5">
        <f>IF(H96&gt;0, (D96/H96)*(1-(R96/100))*100, 0)</f>
        <v/>
      </c>
      <c r="W96" s="5">
        <f>IF((K96+H96)&gt;0, ((K96/(K96+H96))*U96) + ((H96/(K96+H96))*V96), 0)</f>
        <v/>
      </c>
      <c r="X96" s="5">
        <f>S96-((W96/100)*T96)</f>
        <v/>
      </c>
    </row>
    <row r="97">
      <c r="A97" s="6" t="inlineStr">
        <is>
          <t>Oracle Financial Services Software Ltd</t>
        </is>
      </c>
      <c r="B97" s="6" t="inlineStr">
        <is>
          <t>FY21</t>
        </is>
      </c>
      <c r="C97" s="7" t="n">
        <v>2500</v>
      </c>
      <c r="D97" s="7" t="n">
        <v>10</v>
      </c>
      <c r="E97" s="7" t="n">
        <v>700</v>
      </c>
      <c r="F97" s="7" t="n">
        <v>1700</v>
      </c>
      <c r="G97" s="7" t="n">
        <v>6000</v>
      </c>
      <c r="H97" s="7" t="n">
        <v>0</v>
      </c>
      <c r="I97" s="7" t="n">
        <v>2000</v>
      </c>
      <c r="J97" s="7" t="n">
        <v>8.65</v>
      </c>
      <c r="K97" s="7" t="n">
        <v>28000</v>
      </c>
      <c r="L97" s="7" t="n">
        <v>5.5</v>
      </c>
      <c r="M97" s="7" t="n">
        <v>7.46</v>
      </c>
      <c r="N97" s="7" t="n">
        <v>0.8</v>
      </c>
      <c r="O97" s="8">
        <f>IF(G97&gt;0, (F97/G97)*100, 0)</f>
        <v/>
      </c>
      <c r="P97" s="8">
        <f>IF((G97+H97)&gt;0, (F97/(G97+H97))*100, 0)</f>
        <v/>
      </c>
      <c r="Q97" s="8">
        <f>IF(J97&gt;0, F97/J97, 0)</f>
        <v/>
      </c>
      <c r="R97" s="8">
        <f>MAX(0, MIN(35, IF((F97+E97)&lt;&gt;0, (E97/(F97+E97))*100, 0)))</f>
        <v/>
      </c>
      <c r="S97" s="8">
        <f>C97*(1-(R97/100))</f>
        <v/>
      </c>
      <c r="T97" s="8">
        <f>(G97+H97)-I97</f>
        <v/>
      </c>
      <c r="U97" s="8">
        <f>L97+(N97*M97)</f>
        <v/>
      </c>
      <c r="V97" s="8">
        <f>IF(H97&gt;0, (D97/H97)*(1-(R97/100))*100, 0)</f>
        <v/>
      </c>
      <c r="W97" s="8">
        <f>IF((K97+H97)&gt;0, ((K97/(K97+H97))*U97) + ((H97/(K97+H97))*V97), 0)</f>
        <v/>
      </c>
      <c r="X97" s="8">
        <f>S97-((W97/100)*T97)</f>
        <v/>
      </c>
    </row>
    <row r="98">
      <c r="A98" s="3" t="inlineStr">
        <is>
          <t>Oracle Financial Services Software Ltd</t>
        </is>
      </c>
      <c r="B98" s="3" t="inlineStr">
        <is>
          <t>FY22</t>
        </is>
      </c>
      <c r="C98" s="4" t="n">
        <v>2800</v>
      </c>
      <c r="D98" s="4" t="n">
        <v>8</v>
      </c>
      <c r="E98" s="4" t="n">
        <v>800</v>
      </c>
      <c r="F98" s="4" t="n">
        <v>1800</v>
      </c>
      <c r="G98" s="4" t="n">
        <v>6500</v>
      </c>
      <c r="H98" s="4" t="n">
        <v>0</v>
      </c>
      <c r="I98" s="4" t="n">
        <v>2200</v>
      </c>
      <c r="J98" s="4" t="n">
        <v>8.65</v>
      </c>
      <c r="K98" s="4" t="n">
        <v>32000</v>
      </c>
      <c r="L98" s="4" t="n">
        <v>6</v>
      </c>
      <c r="M98" s="4" t="n">
        <v>7.46</v>
      </c>
      <c r="N98" s="4" t="n">
        <v>0.8</v>
      </c>
      <c r="O98" s="5">
        <f>IF(G98&gt;0, (F98/G98)*100, 0)</f>
        <v/>
      </c>
      <c r="P98" s="5">
        <f>IF((G98+H98)&gt;0, (F98/(G98+H98))*100, 0)</f>
        <v/>
      </c>
      <c r="Q98" s="5">
        <f>IF(J98&gt;0, F98/J98, 0)</f>
        <v/>
      </c>
      <c r="R98" s="5">
        <f>MAX(0, MIN(35, IF((F98+E98)&lt;&gt;0, (E98/(F98+E98))*100, 0)))</f>
        <v/>
      </c>
      <c r="S98" s="5">
        <f>C98*(1-(R98/100))</f>
        <v/>
      </c>
      <c r="T98" s="5">
        <f>(G98+H98)-I98</f>
        <v/>
      </c>
      <c r="U98" s="5">
        <f>L98+(N98*M98)</f>
        <v/>
      </c>
      <c r="V98" s="5">
        <f>IF(H98&gt;0, (D98/H98)*(1-(R98/100))*100, 0)</f>
        <v/>
      </c>
      <c r="W98" s="5">
        <f>IF((K98+H98)&gt;0, ((K98/(K98+H98))*U98) + ((H98/(K98+H98))*V98), 0)</f>
        <v/>
      </c>
      <c r="X98" s="5">
        <f>S98-((W98/100)*T98)</f>
        <v/>
      </c>
    </row>
    <row r="99">
      <c r="A99" s="6" t="inlineStr">
        <is>
          <t>Oracle Financial Services Software Ltd</t>
        </is>
      </c>
      <c r="B99" s="6" t="inlineStr">
        <is>
          <t>FY23</t>
        </is>
      </c>
      <c r="C99" s="7" t="n">
        <v>3000</v>
      </c>
      <c r="D99" s="7" t="n">
        <v>5</v>
      </c>
      <c r="E99" s="7" t="n">
        <v>900</v>
      </c>
      <c r="F99" s="7" t="n">
        <v>1900</v>
      </c>
      <c r="G99" s="7" t="n">
        <v>7000</v>
      </c>
      <c r="H99" s="7" t="n">
        <v>0</v>
      </c>
      <c r="I99" s="7" t="n">
        <v>2300</v>
      </c>
      <c r="J99" s="7" t="n">
        <v>8.65</v>
      </c>
      <c r="K99" s="7" t="n">
        <v>35000</v>
      </c>
      <c r="L99" s="7" t="n">
        <v>6.5</v>
      </c>
      <c r="M99" s="7" t="n">
        <v>7.46</v>
      </c>
      <c r="N99" s="7" t="n">
        <v>0.8</v>
      </c>
      <c r="O99" s="8">
        <f>IF(G99&gt;0, (F99/G99)*100, 0)</f>
        <v/>
      </c>
      <c r="P99" s="8">
        <f>IF((G99+H99)&gt;0, (F99/(G99+H99))*100, 0)</f>
        <v/>
      </c>
      <c r="Q99" s="8">
        <f>IF(J99&gt;0, F99/J99, 0)</f>
        <v/>
      </c>
      <c r="R99" s="8">
        <f>MAX(0, MIN(35, IF((F99+E99)&lt;&gt;0, (E99/(F99+E99))*100, 0)))</f>
        <v/>
      </c>
      <c r="S99" s="8">
        <f>C99*(1-(R99/100))</f>
        <v/>
      </c>
      <c r="T99" s="8">
        <f>(G99+H99)-I99</f>
        <v/>
      </c>
      <c r="U99" s="8">
        <f>L99+(N99*M99)</f>
        <v/>
      </c>
      <c r="V99" s="8">
        <f>IF(H99&gt;0, (D99/H99)*(1-(R99/100))*100, 0)</f>
        <v/>
      </c>
      <c r="W99" s="8">
        <f>IF((K99+H99)&gt;0, ((K99/(K99+H99))*U99) + ((H99/(K99+H99))*V99), 0)</f>
        <v/>
      </c>
      <c r="X99" s="8">
        <f>S99-((W99/100)*T99)</f>
        <v/>
      </c>
    </row>
    <row r="100">
      <c r="A100" s="3" t="inlineStr">
        <is>
          <t>Oracle Financial Services Software Ltd</t>
        </is>
      </c>
      <c r="B100" s="3" t="inlineStr">
        <is>
          <t>FY24</t>
        </is>
      </c>
      <c r="C100" s="4" t="n">
        <v>3200</v>
      </c>
      <c r="D100" s="4" t="n">
        <v>3</v>
      </c>
      <c r="E100" s="4" t="n">
        <v>1000</v>
      </c>
      <c r="F100" s="4" t="n">
        <v>2200</v>
      </c>
      <c r="G100" s="4" t="n">
        <v>7300</v>
      </c>
      <c r="H100" s="4" t="n">
        <v>0</v>
      </c>
      <c r="I100" s="4" t="n">
        <v>2400</v>
      </c>
      <c r="J100" s="4" t="n">
        <v>8.65</v>
      </c>
      <c r="K100" s="4" t="n">
        <v>40000</v>
      </c>
      <c r="L100" s="4" t="n">
        <v>7</v>
      </c>
      <c r="M100" s="4" t="n">
        <v>7.46</v>
      </c>
      <c r="N100" s="4" t="n">
        <v>0.8</v>
      </c>
      <c r="O100" s="5">
        <f>IF(G100&gt;0, (F100/G100)*100, 0)</f>
        <v/>
      </c>
      <c r="P100" s="5">
        <f>IF((G100+H100)&gt;0, (F100/(G100+H100))*100, 0)</f>
        <v/>
      </c>
      <c r="Q100" s="5">
        <f>IF(J100&gt;0, F100/J100, 0)</f>
        <v/>
      </c>
      <c r="R100" s="5">
        <f>MAX(0, MIN(35, IF((F100+E100)&lt;&gt;0, (E100/(F100+E100))*100, 0)))</f>
        <v/>
      </c>
      <c r="S100" s="5">
        <f>C100*(1-(R100/100))</f>
        <v/>
      </c>
      <c r="T100" s="5">
        <f>(G100+H100)-I100</f>
        <v/>
      </c>
      <c r="U100" s="5">
        <f>L100+(N100*M100)</f>
        <v/>
      </c>
      <c r="V100" s="5">
        <f>IF(H100&gt;0, (D100/H100)*(1-(R100/100))*100, 0)</f>
        <v/>
      </c>
      <c r="W100" s="5">
        <f>IF((K100+H100)&gt;0, ((K100/(K100+H100))*U100) + ((H100/(K100+H100))*V100), 0)</f>
        <v/>
      </c>
      <c r="X100" s="5">
        <f>S100-((W100/100)*T100)</f>
        <v/>
      </c>
    </row>
    <row r="101">
      <c r="A101" s="6" t="inlineStr">
        <is>
          <t>Oracle Financial Services Software Ltd</t>
        </is>
      </c>
      <c r="B101" s="6" t="inlineStr">
        <is>
          <t>FY25</t>
        </is>
      </c>
      <c r="C101" s="7" t="n">
        <v>3477</v>
      </c>
      <c r="D101" s="7" t="n">
        <v>2</v>
      </c>
      <c r="E101" s="7" t="n">
        <v>1041</v>
      </c>
      <c r="F101" s="7" t="n">
        <v>2639</v>
      </c>
      <c r="G101" s="7" t="n">
        <v>7746</v>
      </c>
      <c r="H101" s="7" t="n">
        <v>0</v>
      </c>
      <c r="I101" s="7" t="n">
        <v>2500</v>
      </c>
      <c r="J101" s="7" t="n">
        <v>8.65</v>
      </c>
      <c r="K101" s="7" t="n">
        <v>101491</v>
      </c>
      <c r="L101" s="7" t="n">
        <v>6.67</v>
      </c>
      <c r="M101" s="7" t="n">
        <v>7.46</v>
      </c>
      <c r="N101" s="7" t="n">
        <v>0.8</v>
      </c>
      <c r="O101" s="8">
        <f>IF(G101&gt;0, (F101/G101)*100, 0)</f>
        <v/>
      </c>
      <c r="P101" s="8">
        <f>IF((G101+H101)&gt;0, (F101/(G101+H101))*100, 0)</f>
        <v/>
      </c>
      <c r="Q101" s="8">
        <f>IF(J101&gt;0, F101/J101, 0)</f>
        <v/>
      </c>
      <c r="R101" s="8">
        <f>MAX(0, MIN(35, IF((F101+E101)&lt;&gt;0, (E101/(F101+E101))*100, 0)))</f>
        <v/>
      </c>
      <c r="S101" s="8">
        <f>C101*(1-(R101/100))</f>
        <v/>
      </c>
      <c r="T101" s="8">
        <f>(G101+H101)-I101</f>
        <v/>
      </c>
      <c r="U101" s="8">
        <f>L101+(N101*M101)</f>
        <v/>
      </c>
      <c r="V101" s="8">
        <f>IF(H101&gt;0, (D101/H101)*(1-(R101/100))*100, 0)</f>
        <v/>
      </c>
      <c r="W101" s="8">
        <f>IF((K101+H101)&gt;0, ((K101/(K101+H101))*U101) + ((H101/(K101+H101))*V101), 0)</f>
        <v/>
      </c>
      <c r="X101" s="8">
        <f>S101-((W101/100)*T101)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9" t="inlineStr">
        <is>
          <t>Metric</t>
        </is>
      </c>
      <c r="B1" s="9" t="inlineStr">
        <is>
          <t>Formula Logic / Definition</t>
        </is>
      </c>
    </row>
    <row r="2">
      <c r="A2" s="10" t="inlineStr">
        <is>
          <t>ROE (%)</t>
        </is>
      </c>
      <c r="B2" s="10">
        <f>IF(Equity&gt;0, (PAT/Equity)*100, 0)</f>
        <v/>
      </c>
    </row>
    <row r="3">
      <c r="A3" s="10" t="inlineStr">
        <is>
          <t>ROA (%)</t>
        </is>
      </c>
      <c r="B3" s="10">
        <f>IF((Equity+Debt)&gt;0, (PAT/(Equity+Debt))*100, 0)</f>
        <v/>
      </c>
    </row>
    <row r="4">
      <c r="A4" s="10" t="inlineStr">
        <is>
          <t>EPS</t>
        </is>
      </c>
      <c r="B4" s="10">
        <f>IF(Shares&gt;0, PAT/Shares, 0)</f>
        <v/>
      </c>
    </row>
    <row r="5">
      <c r="A5" s="10" t="inlineStr">
        <is>
          <t>Effective Tax Rate (%)</t>
        </is>
      </c>
      <c r="B5" s="10">
        <f>MAX(0, MIN(35, IF((PAT+Tax)&lt;&gt;0, (Tax/(PAT+Tax))*100, 0)))</f>
        <v/>
      </c>
    </row>
    <row r="6">
      <c r="A6" s="10" t="inlineStr">
        <is>
          <t>NOPAT</t>
        </is>
      </c>
      <c r="B6" s="10">
        <f>EBIT*(1-(Effective Tax Rate/100))</f>
        <v/>
      </c>
    </row>
    <row r="7">
      <c r="A7" s="10" t="inlineStr">
        <is>
          <t>Invested Capital</t>
        </is>
      </c>
      <c r="B7" s="10">
        <f>(Equity+Debt)-Cash</f>
        <v/>
      </c>
    </row>
    <row r="8">
      <c r="A8" s="10" t="inlineStr">
        <is>
          <t>Cost of Equity (Ke %)</t>
        </is>
      </c>
      <c r="B8" s="10">
        <f>RiskFreeRate + (Beta*MarketRiskPremium)</f>
        <v/>
      </c>
    </row>
    <row r="9">
      <c r="A9" s="10" t="inlineStr">
        <is>
          <t>Cost of Debt (Kd %)</t>
        </is>
      </c>
      <c r="B9" s="10">
        <f>IF(Debt&gt;0, (Interest/Debt)*(1-(Effective Tax Rate/100))*100, 0)</f>
        <v/>
      </c>
    </row>
    <row r="10">
      <c r="A10" s="10" t="inlineStr">
        <is>
          <t>WACC (%)</t>
        </is>
      </c>
      <c r="B10" s="10">
        <f>IF((MarketCap+Debt)&gt;0, ((MarketCap/(MarketCap+Debt))*Ke) + ((Debt/(MarketCap+Debt))*Kd), 0)</f>
        <v/>
      </c>
    </row>
    <row r="11">
      <c r="A11" s="10" t="inlineStr">
        <is>
          <t>EVA</t>
        </is>
      </c>
      <c r="B11" s="10">
        <f>NOPAT-((WACC/100)*Invested Capital)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2026-07-13T15:30:12Z</dcterms:created>
  <dcterms:modified xmlns:dcterms="http://purl.org/dc/terms/" xmlns:xsi="http://www.w3.org/2001/XMLSchema-instance" xsi:type="dcterms:W3CDTF">2026-07-13T15:30:13Z</dcterms:modified>
</cp:coreProperties>
</file>